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3d189cf34b57793/Desktop/CoachX/MS Excel/May_Batch/Excel_Projects/Excel_Projects/"/>
    </mc:Choice>
  </mc:AlternateContent>
  <xr:revisionPtr revIDLastSave="466" documentId="13_ncr:1_{2EE0A101-5B09-429F-BCE7-352EC8256BAC}" xr6:coauthVersionLast="47" xr6:coauthVersionMax="47" xr10:uidLastSave="{51A668A7-ABFE-4F3E-A845-C5727FB764BF}"/>
  <bookViews>
    <workbookView xWindow="-108" yWindow="-108" windowWidth="23256" windowHeight="12456" tabRatio="861" firstSheet="2" activeTab="2" xr2:uid="{00000000-000D-0000-FFFF-FFFF00000000}"/>
  </bookViews>
  <sheets>
    <sheet name="Project Information" sheetId="1" r:id="rId1"/>
    <sheet name="Methodology" sheetId="3" r:id="rId2"/>
    <sheet name="Annuity" sheetId="5" r:id="rId3"/>
    <sheet name="Loan &amp; EMI" sheetId="6" r:id="rId4"/>
    <sheet name="Investment Analysis" sheetId="7" r:id="rId5"/>
    <sheet name="XNPV" sheetId="8" r:id="rId6"/>
    <sheet name="NPV - DIFFERENT RATE" sheetId="11" r:id="rId7"/>
    <sheet name="IRR &amp; XIRR" sheetId="9" r:id="rId8"/>
    <sheet name="MIRR" sheetId="10" r:id="rId9"/>
    <sheet name="Executive Summary"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B5" i="4" s="1"/>
  <c r="C34" i="9"/>
  <c r="C35" i="9"/>
  <c r="C36" i="9"/>
  <c r="C37" i="9"/>
  <c r="C38" i="9"/>
  <c r="C39" i="9"/>
  <c r="C40" i="9"/>
  <c r="C41" i="9"/>
  <c r="C42" i="9"/>
  <c r="C43" i="9"/>
  <c r="C33" i="9"/>
  <c r="B14" i="4"/>
  <c r="B13" i="4"/>
  <c r="B12" i="4"/>
  <c r="B11" i="4"/>
  <c r="B10" i="4"/>
  <c r="C20" i="9"/>
  <c r="B9" i="4"/>
  <c r="B8" i="4"/>
  <c r="B7" i="4"/>
  <c r="B6" i="4"/>
  <c r="C22" i="9"/>
  <c r="C23" i="9"/>
  <c r="C24" i="9"/>
  <c r="C25" i="9"/>
  <c r="C26" i="9"/>
  <c r="C27" i="9"/>
  <c r="C28" i="9"/>
  <c r="C29" i="9"/>
  <c r="C30" i="9"/>
  <c r="C21" i="9"/>
  <c r="E8" i="9"/>
  <c r="E9" i="9"/>
  <c r="E10" i="9"/>
  <c r="E11" i="9"/>
  <c r="E12" i="9"/>
  <c r="E13" i="9"/>
  <c r="E14" i="9"/>
  <c r="E15" i="9"/>
  <c r="E16" i="9"/>
  <c r="E7" i="9"/>
  <c r="E6" i="9"/>
  <c r="C12" i="11"/>
  <c r="C11" i="11"/>
  <c r="C10" i="11"/>
  <c r="C9" i="11"/>
  <c r="C8" i="11"/>
  <c r="C7" i="11"/>
  <c r="C6" i="11"/>
  <c r="C5" i="11"/>
  <c r="C4" i="11"/>
  <c r="E14" i="8"/>
  <c r="B14" i="8"/>
  <c r="A35" i="6"/>
  <c r="A34" i="6"/>
  <c r="E24" i="6"/>
  <c r="E25" i="6"/>
  <c r="E26" i="6"/>
  <c r="E27" i="6"/>
  <c r="E28" i="6"/>
  <c r="E29" i="6"/>
  <c r="E30" i="6"/>
  <c r="D24" i="6"/>
  <c r="D25" i="6"/>
  <c r="D26" i="6"/>
  <c r="D27" i="6"/>
  <c r="D28" i="6"/>
  <c r="D29" i="6"/>
  <c r="D30" i="6"/>
  <c r="D23" i="6"/>
  <c r="E23" i="6"/>
  <c r="F23" i="6" s="1"/>
  <c r="C24" i="6"/>
  <c r="C25" i="6"/>
  <c r="C26" i="6"/>
  <c r="C27" i="6"/>
  <c r="C28" i="6"/>
  <c r="C29" i="6"/>
  <c r="C30" i="6"/>
  <c r="C23" i="6"/>
  <c r="B15" i="10"/>
  <c r="B10" i="10"/>
  <c r="B11" i="10"/>
  <c r="B12" i="10"/>
  <c r="B13" i="10"/>
  <c r="B9" i="10"/>
  <c r="B20" i="6"/>
  <c r="B9" i="7"/>
  <c r="C9" i="7"/>
  <c r="B12" i="7"/>
  <c r="B14" i="7" s="1"/>
  <c r="C12" i="7"/>
  <c r="C14" i="7" s="1"/>
  <c r="B13" i="7"/>
  <c r="C13" i="7"/>
  <c r="C53" i="9"/>
  <c r="B53" i="9"/>
  <c r="F52" i="9"/>
  <c r="A12" i="9"/>
  <c r="B51" i="6"/>
  <c r="B45" i="6"/>
  <c r="A24" i="6"/>
  <c r="A25" i="6" s="1"/>
  <c r="B23" i="6"/>
  <c r="A37" i="6"/>
  <c r="B8" i="6"/>
  <c r="E6" i="6"/>
  <c r="E11" i="6" s="1"/>
  <c r="B6" i="6"/>
  <c r="E8" i="5"/>
  <c r="B24" i="6" l="1"/>
  <c r="B12" i="6"/>
  <c r="A26" i="6"/>
  <c r="A38" i="6" l="1"/>
  <c r="F24" i="6"/>
  <c r="B25" i="6" s="1"/>
  <c r="F25" i="6" s="1"/>
  <c r="B26" i="6" s="1"/>
  <c r="A27" i="6"/>
  <c r="F26" i="6" l="1"/>
  <c r="B27" i="6" s="1"/>
  <c r="A28" i="6"/>
  <c r="F27" i="6"/>
  <c r="B28" i="6" s="1"/>
  <c r="F28" i="6" l="1"/>
  <c r="B29" i="6" s="1"/>
  <c r="A29" i="6"/>
  <c r="F29" i="6" l="1"/>
  <c r="B30" i="6" s="1"/>
  <c r="A30" i="6"/>
  <c r="F30" i="6" l="1"/>
</calcChain>
</file>

<file path=xl/sharedStrings.xml><?xml version="1.0" encoding="utf-8"?>
<sst xmlns="http://schemas.openxmlformats.org/spreadsheetml/2006/main" count="189" uniqueCount="120">
  <si>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</si>
  <si>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</si>
  <si>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</si>
  <si>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</si>
  <si>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</si>
  <si>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</si>
  <si>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</si>
  <si>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</si>
  <si>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</si>
  <si>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</si>
  <si>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</si>
  <si>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</si>
  <si>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</si>
  <si>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</si>
  <si>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</si>
  <si>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</si>
  <si>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</si>
  <si>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</si>
  <si>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</si>
  <si>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</si>
  <si>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</si>
  <si>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</si>
  <si>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</si>
  <si>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</si>
  <si>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</si>
  <si>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</si>
  <si>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</si>
  <si>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</si>
  <si>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</si>
  <si>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</si>
  <si>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</si>
  <si>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</si>
  <si>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</si>
  <si>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</si>
  <si>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</si>
  <si>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</si>
  <si>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</si>
  <si>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</si>
  <si>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</si>
  <si>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</si>
  <si>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</si>
  <si>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</si>
  <si>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</si>
  <si>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XIRR</t>
  </si>
  <si>
    <t>Finance rate</t>
  </si>
  <si>
    <t>Reinvestment Rate</t>
  </si>
  <si>
    <t>Discount</t>
  </si>
  <si>
    <t>MIRR</t>
  </si>
  <si>
    <t>Function</t>
  </si>
  <si>
    <t>Purpose</t>
  </si>
  <si>
    <t>Present value</t>
  </si>
  <si>
    <t>Periodic cash flows</t>
  </si>
  <si>
    <t>XNPV</t>
  </si>
  <si>
    <t>Irregular cash flows</t>
  </si>
  <si>
    <t>PMT</t>
  </si>
  <si>
    <t>Loan payment</t>
  </si>
  <si>
    <t>IPMT / PPMT</t>
  </si>
  <si>
    <t>Interest / principal</t>
  </si>
  <si>
    <t>CUMIPMT / CUMPRINC</t>
  </si>
  <si>
    <t>Cumulative components</t>
  </si>
  <si>
    <t>RATE</t>
  </si>
  <si>
    <t>Implied rate</t>
  </si>
  <si>
    <t>NPER</t>
  </si>
  <si>
    <t>Loan term</t>
  </si>
  <si>
    <t>Periodic return</t>
  </si>
  <si>
    <t>Irregular-date return</t>
  </si>
  <si>
    <t>Separate finance/reinvestment rates</t>
  </si>
  <si>
    <t>Quality Checks</t>
  </si>
  <si>
    <t>Methodology &amp; Quality Controls</t>
  </si>
  <si>
    <t>Negative = cash paid; positive = cash received.</t>
  </si>
  <si>
    <t>XNPV/XIRR dates are chronological and use the earliest date as the base.</t>
  </si>
  <si>
    <t>Loan schedule reconciles beginning balance, EMI, interest, principal and ending balance.</t>
  </si>
  <si>
    <t>NPV timing variants distinguish end-, beginning- and middle-of-period cash flows.</t>
  </si>
  <si>
    <t>IRR guess sensitivity is included to expose multiple-root behavior.</t>
  </si>
  <si>
    <t>Independent numerical calculations were used to validate major outputs.</t>
  </si>
  <si>
    <t>Key Results</t>
  </si>
  <si>
    <t>Metric</t>
  </si>
  <si>
    <t>Result</t>
  </si>
  <si>
    <t>Interpretation</t>
  </si>
  <si>
    <t>PV — End Year</t>
  </si>
  <si>
    <t>Lower PV</t>
  </si>
  <si>
    <t>PV — Beginning Year</t>
  </si>
  <si>
    <t>Higher PV</t>
  </si>
  <si>
    <t>25-year Home Loan EMI</t>
  </si>
  <si>
    <t>Monthly payment</t>
  </si>
  <si>
    <t>8-month Loan EMI</t>
  </si>
  <si>
    <t>RATE — Monthly</t>
  </si>
  <si>
    <t>NPER — Months</t>
  </si>
  <si>
    <t>Repayment periods</t>
  </si>
  <si>
    <t>Investment 1 NPV</t>
  </si>
  <si>
    <t>20% discount</t>
  </si>
  <si>
    <t>Investment 2 NPV</t>
  </si>
  <si>
    <t>Preferred</t>
  </si>
  <si>
    <t>10% / 12% rates</t>
  </si>
  <si>
    <t>Key Insights</t>
  </si>
  <si>
    <t>• Payment timing changes present value; earlier payments have a higher PV.</t>
  </si>
  <si>
    <t>• Loan interest declines and principal repayment increases as the balance falls.</t>
  </si>
  <si>
    <t>• Investment 2 has the higher NPV under the supplied 20% discount rate.</t>
  </si>
  <si>
    <t>• XNPV/XIRR are appropriate for irregularly dated cash flows.</t>
  </si>
  <si>
    <t>• Multiple IRRs can occur after multiple cash-flow sign changes; IRR should be interpreted with caution.</t>
  </si>
  <si>
    <t>• MIRR separates finance and reinvestment assumptions.</t>
  </si>
  <si>
    <t>Executive Summary</t>
  </si>
  <si>
    <t>EMI Scenarios</t>
  </si>
  <si>
    <t>25-year Home Loan</t>
  </si>
  <si>
    <t>8-month Loan</t>
  </si>
  <si>
    <t>Cumulative Months 2–3</t>
  </si>
  <si>
    <t>RATE &amp; NPER</t>
  </si>
  <si>
    <t>Timing</t>
  </si>
  <si>
    <t>Investment 1</t>
  </si>
  <si>
    <t>Investment 2</t>
  </si>
  <si>
    <t>Multiple-IRR Example — Guess Sensitivity</t>
  </si>
  <si>
    <t>XIRR — Irregular Dates</t>
  </si>
  <si>
    <t>Payments at Beginning of the year</t>
  </si>
  <si>
    <t xml:space="preserve"> </t>
  </si>
  <si>
    <t>Loan, EMI &amp; Repayment Schedule</t>
  </si>
  <si>
    <t>Amortization</t>
  </si>
  <si>
    <t>Modified IRR (MIRR)</t>
  </si>
  <si>
    <t>XNPV — Irregular Cash Flows</t>
  </si>
  <si>
    <t>NPV WITH DIFFERENT RATE</t>
  </si>
  <si>
    <t>IRR, XIRR &amp; Multiple-IRR Diagnostics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</si>
</sst>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45C]#,##0.00"/>
    <numFmt numFmtId="166" formatCode="\₹#,##0.00"/>
  </numFmts>
  <fonts count="13" x14ac:knownFonts="1">
    <font>
      <sz val="11"/>
      <color theme="1"/>
      <name val="Calibri"/>
      <family val="2"/>
      <scheme val="minor"/>
    </font>
    <font>
      <b/>
      <sz val="11"/>
      <color theme="1"/>
      <name val="Calibri"/>
      <family val="2"/>
      <scheme val="minor"/>
    </font>
    <font>
      <b/>
      <sz val="11"/>
      <color rgb="FFFFFF00"/>
      <name val="Calibri"/>
      <family val="2"/>
      <scheme val="minor"/>
    </font>
    <font>
      <b/>
      <sz val="12"/>
      <color rgb="FFFFFF00"/>
      <name val="Calibri"/>
      <family val="2"/>
      <scheme val="minor"/>
    </font>
    <font>
      <b/>
      <sz val="20"/>
      <color rgb="FFFFFFFF"/>
      <name val="Cambria"/>
      <family val="1"/>
    </font>
    <font>
      <b/>
      <sz val="11"/>
      <name val="Cambria"/>
      <family val="1"/>
    </font>
    <font>
      <sz val="11"/>
      <name val="Calibri"/>
      <family val="2"/>
      <scheme val="minor"/>
    </font>
    <font>
      <b/>
      <sz val="11"/>
      <name val="Calibri"/>
      <family val="2"/>
      <scheme val="minor"/>
    </font>
    <font>
      <b/>
      <sz val="12"/>
      <name val="Calibri"/>
      <family val="2"/>
      <scheme val="minor"/>
    </font>
    <font>
      <b/>
      <sz val="20"/>
      <color theme="0"/>
      <name val="Calibri"/>
      <family val="2"/>
      <scheme val="minor"/>
    </font>
    <font>
      <b/>
      <sz val="12"/>
      <color theme="1"/>
      <name val="Calibri"/>
      <family val="2"/>
      <scheme val="minor"/>
    </font>
    <font>
      <b/>
      <sz val="11"/>
      <color theme="1"/>
      <name val="Cambria"/>
      <family val="1"/>
    </font>
    <font>
      <sz val="8"/>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BD3F0"/>
        <bgColor indexed="64"/>
      </patternFill>
    </fill>
    <fill>
      <patternFill patternType="solid">
        <fgColor rgb="FFFBD3F0"/>
        <bgColor rgb="FF0066CC"/>
      </patternFill>
    </fill>
    <fill>
      <patternFill patternType="solid">
        <fgColor rgb="FFFBD3F0"/>
        <bgColor rgb="FF333333"/>
      </patternFill>
    </fill>
    <fill>
      <patternFill patternType="solid">
        <fgColor rgb="FF7030A0"/>
        <bgColor indexed="64"/>
      </patternFill>
    </fill>
    <fill>
      <patternFill patternType="solid">
        <fgColor rgb="FF7030A0"/>
        <bgColor rgb="FF333333"/>
      </patternFill>
    </fill>
    <fill>
      <patternFill patternType="solid">
        <fgColor rgb="FFCC99FF"/>
        <bgColor indexed="64"/>
      </patternFill>
    </fill>
    <fill>
      <patternFill patternType="solid">
        <fgColor rgb="FFCC99FF"/>
        <bgColor rgb="FF0066CC"/>
      </patternFill>
    </fill>
    <fill>
      <patternFill patternType="solid">
        <fgColor rgb="FFCC99FF"/>
        <bgColor rgb="FF333333"/>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12">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2" fontId="0" fillId="0" borderId="1" xfId="0" applyNumberFormat="1" applyBorder="1" applyAlignment="1">
      <alignment horizontal="center"/>
    </xf>
    <xf numFmtId="0" fontId="0" fillId="0" borderId="20" xfId="0"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4" xfId="0" applyNumberFormat="1" applyBorder="1" applyAlignment="1">
      <alignment horizontal="center"/>
    </xf>
    <xf numFmtId="0" fontId="0" fillId="0" borderId="25"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10" fontId="0" fillId="0" borderId="26" xfId="0" applyNumberFormat="1" applyBorder="1" applyAlignment="1">
      <alignment horizontal="center"/>
    </xf>
    <xf numFmtId="0" fontId="0" fillId="0" borderId="22" xfId="0" applyBorder="1" applyAlignment="1">
      <alignment horizontal="center"/>
    </xf>
    <xf numFmtId="0" fontId="0" fillId="0" borderId="27"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10" fontId="0" fillId="0" borderId="17"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5" fontId="0" fillId="0" borderId="15" xfId="0" applyNumberFormat="1" applyBorder="1" applyAlignment="1">
      <alignment horizontal="center"/>
    </xf>
    <xf numFmtId="14" fontId="0" fillId="0" borderId="1" xfId="0" applyNumberFormat="1" applyBorder="1" applyAlignment="1">
      <alignment horizontal="center"/>
    </xf>
    <xf numFmtId="0" fontId="0" fillId="0" borderId="28" xfId="0" applyBorder="1" applyAlignment="1">
      <alignment vertical="center"/>
    </xf>
    <xf numFmtId="166" fontId="0" fillId="0" borderId="28" xfId="0" applyNumberFormat="1" applyBorder="1" applyAlignment="1">
      <alignment vertical="center"/>
    </xf>
    <xf numFmtId="10" fontId="0" fillId="0" borderId="28" xfId="0" applyNumberFormat="1" applyBorder="1" applyAlignment="1">
      <alignment vertical="center"/>
    </xf>
    <xf numFmtId="2" fontId="0" fillId="0" borderId="28" xfId="0" applyNumberFormat="1" applyBorder="1" applyAlignment="1">
      <alignment vertical="center"/>
    </xf>
    <xf numFmtId="0" fontId="1" fillId="0" borderId="0" xfId="0" applyFont="1" applyAlignment="1">
      <alignment horizontal="center"/>
    </xf>
    <xf numFmtId="6" fontId="2" fillId="0" borderId="0" xfId="0" applyNumberFormat="1" applyFont="1" applyAlignment="1">
      <alignment horizontal="center"/>
    </xf>
    <xf numFmtId="0" fontId="3" fillId="0" borderId="0" xfId="0" applyFont="1" applyAlignment="1">
      <alignment horizontal="center"/>
    </xf>
    <xf numFmtId="6" fontId="1" fillId="2" borderId="1" xfId="0" applyNumberFormat="1" applyFont="1" applyFill="1" applyBorder="1" applyAlignment="1">
      <alignment horizontal="center"/>
    </xf>
    <xf numFmtId="0" fontId="6" fillId="2" borderId="1" xfId="0" applyFont="1" applyFill="1" applyBorder="1" applyAlignment="1">
      <alignment horizontal="center"/>
    </xf>
    <xf numFmtId="8" fontId="7" fillId="2" borderId="1" xfId="0" applyNumberFormat="1" applyFont="1" applyFill="1" applyBorder="1" applyAlignment="1">
      <alignment horizontal="center"/>
    </xf>
    <xf numFmtId="0" fontId="7" fillId="2" borderId="2" xfId="0" applyFont="1" applyFill="1" applyBorder="1" applyAlignment="1">
      <alignment horizontal="center" vertical="center" wrapText="1"/>
    </xf>
    <xf numFmtId="2" fontId="6" fillId="2" borderId="3" xfId="0" applyNumberFormat="1" applyFont="1" applyFill="1" applyBorder="1" applyAlignment="1">
      <alignment horizontal="center"/>
    </xf>
    <xf numFmtId="8" fontId="6" fillId="2" borderId="19" xfId="0" applyNumberFormat="1" applyFont="1" applyFill="1" applyBorder="1" applyAlignment="1">
      <alignment horizontal="center"/>
    </xf>
    <xf numFmtId="8" fontId="6" fillId="2" borderId="1" xfId="0" applyNumberFormat="1" applyFont="1" applyFill="1" applyBorder="1" applyAlignment="1">
      <alignment horizontal="center"/>
    </xf>
    <xf numFmtId="0" fontId="6" fillId="2" borderId="14" xfId="0" applyFont="1" applyFill="1" applyBorder="1" applyAlignment="1">
      <alignment horizontal="center"/>
    </xf>
    <xf numFmtId="8" fontId="6" fillId="2" borderId="3" xfId="0" applyNumberFormat="1" applyFont="1" applyFill="1" applyBorder="1" applyAlignment="1">
      <alignment horizontal="center"/>
    </xf>
    <xf numFmtId="8" fontId="6" fillId="2" borderId="15" xfId="0" applyNumberFormat="1" applyFont="1" applyFill="1" applyBorder="1" applyAlignment="1">
      <alignment horizontal="center"/>
    </xf>
    <xf numFmtId="0" fontId="6" fillId="2" borderId="9" xfId="0" applyFont="1" applyFill="1" applyBorder="1" applyAlignment="1">
      <alignment horizontal="center"/>
    </xf>
    <xf numFmtId="0" fontId="6" fillId="2" borderId="11" xfId="0" applyFont="1" applyFill="1" applyBorder="1" applyAlignment="1">
      <alignment horizontal="center"/>
    </xf>
    <xf numFmtId="8" fontId="6" fillId="2" borderId="12" xfId="0" applyNumberFormat="1" applyFont="1" applyFill="1" applyBorder="1" applyAlignment="1">
      <alignment horizontal="center"/>
    </xf>
    <xf numFmtId="0" fontId="7" fillId="2" borderId="2" xfId="0" applyFont="1" applyFill="1" applyBorder="1" applyAlignment="1">
      <alignment horizontal="center" wrapText="1"/>
    </xf>
    <xf numFmtId="9" fontId="6" fillId="2" borderId="1" xfId="0" applyNumberFormat="1" applyFont="1" applyFill="1" applyBorder="1" applyAlignment="1">
      <alignment horizontal="center"/>
    </xf>
    <xf numFmtId="1" fontId="6" fillId="2" borderId="1" xfId="0" applyNumberFormat="1" applyFont="1" applyFill="1" applyBorder="1" applyAlignment="1">
      <alignment horizontal="center"/>
    </xf>
    <xf numFmtId="0" fontId="5" fillId="5" borderId="28" xfId="0" applyFont="1" applyFill="1" applyBorder="1" applyAlignment="1">
      <alignment horizontal="center" wrapText="1"/>
    </xf>
    <xf numFmtId="9" fontId="6" fillId="0" borderId="1" xfId="0" applyNumberFormat="1" applyFont="1" applyBorder="1" applyAlignment="1">
      <alignment horizontal="center"/>
    </xf>
    <xf numFmtId="0" fontId="7" fillId="3" borderId="1" xfId="0" applyFont="1" applyFill="1" applyBorder="1" applyAlignment="1">
      <alignment horizontal="center"/>
    </xf>
    <xf numFmtId="0" fontId="7" fillId="3" borderId="16" xfId="0" applyFont="1" applyFill="1" applyBorder="1" applyAlignment="1">
      <alignment horizontal="center"/>
    </xf>
    <xf numFmtId="0" fontId="7" fillId="3" borderId="18" xfId="0" applyFont="1" applyFill="1" applyBorder="1" applyAlignment="1">
      <alignment horizontal="center"/>
    </xf>
    <xf numFmtId="10" fontId="0" fillId="0" borderId="1" xfId="0" applyNumberFormat="1" applyBorder="1" applyAlignment="1">
      <alignment horizontal="center"/>
    </xf>
    <xf numFmtId="0" fontId="6" fillId="8" borderId="16" xfId="0" applyFont="1" applyFill="1" applyBorder="1" applyAlignment="1">
      <alignment horizontal="center"/>
    </xf>
    <xf numFmtId="0" fontId="6" fillId="8" borderId="17" xfId="0" applyFont="1" applyFill="1" applyBorder="1" applyAlignment="1">
      <alignment horizontal="center"/>
    </xf>
    <xf numFmtId="0" fontId="6" fillId="8" borderId="18" xfId="0" applyFont="1" applyFill="1" applyBorder="1" applyAlignment="1">
      <alignment horizontal="center"/>
    </xf>
    <xf numFmtId="0" fontId="1" fillId="8" borderId="1" xfId="0" applyFont="1" applyFill="1" applyBorder="1" applyAlignment="1">
      <alignment horizontal="center"/>
    </xf>
    <xf numFmtId="0" fontId="1" fillId="8" borderId="4" xfId="0" applyFont="1" applyFill="1" applyBorder="1" applyAlignment="1">
      <alignment horizontal="center"/>
    </xf>
    <xf numFmtId="0" fontId="1" fillId="8" borderId="16" xfId="0" applyFont="1" applyFill="1" applyBorder="1" applyAlignment="1">
      <alignment horizontal="center"/>
    </xf>
    <xf numFmtId="0" fontId="1" fillId="3" borderId="1"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13" xfId="0" applyFont="1" applyFill="1" applyBorder="1" applyAlignment="1">
      <alignment horizontal="center"/>
    </xf>
    <xf numFmtId="0" fontId="1" fillId="3" borderId="16" xfId="0" applyFont="1" applyFill="1" applyBorder="1" applyAlignment="1">
      <alignment horizontal="center"/>
    </xf>
    <xf numFmtId="0" fontId="11" fillId="5" borderId="1" xfId="0" applyFont="1" applyFill="1" applyBorder="1" applyAlignment="1">
      <alignment horizontal="center" wrapText="1"/>
    </xf>
    <xf numFmtId="0" fontId="0" fillId="0" borderId="1" xfId="0" applyBorder="1"/>
    <xf numFmtId="9" fontId="0" fillId="0" borderId="0" xfId="0" applyNumberFormat="1" applyAlignment="1">
      <alignment horizontal="center"/>
    </xf>
    <xf numFmtId="0" fontId="1" fillId="3" borderId="2" xfId="0" applyFont="1" applyFill="1" applyBorder="1" applyAlignment="1">
      <alignment horizontal="center" vertical="center"/>
    </xf>
    <xf numFmtId="0" fontId="1" fillId="8" borderId="18" xfId="0" applyFont="1" applyFill="1" applyBorder="1" applyAlignment="1">
      <alignment horizontal="center"/>
    </xf>
    <xf numFmtId="0" fontId="0" fillId="8" borderId="4" xfId="0" applyFill="1" applyBorder="1" applyAlignment="1">
      <alignment horizontal="center"/>
    </xf>
    <xf numFmtId="0" fontId="0" fillId="8" borderId="16" xfId="0" applyFill="1" applyBorder="1" applyAlignment="1">
      <alignment horizontal="center"/>
    </xf>
    <xf numFmtId="0" fontId="0" fillId="8" borderId="18" xfId="0" applyFill="1" applyBorder="1" applyAlignment="1">
      <alignment horizontal="center"/>
    </xf>
    <xf numFmtId="0" fontId="11" fillId="10" borderId="28" xfId="0" applyFont="1" applyFill="1" applyBorder="1" applyAlignment="1">
      <alignment horizontal="center"/>
    </xf>
    <xf numFmtId="9" fontId="0" fillId="0" borderId="0" xfId="0" applyNumberFormat="1"/>
    <xf numFmtId="0" fontId="1" fillId="8" borderId="1" xfId="0" applyFont="1" applyFill="1" applyBorder="1"/>
    <xf numFmtId="0" fontId="10" fillId="3" borderId="0" xfId="0" applyFont="1" applyFill="1" applyAlignment="1">
      <alignment horizontal="center"/>
    </xf>
    <xf numFmtId="0" fontId="11" fillId="4" borderId="0" xfId="0" applyFont="1" applyFill="1"/>
    <xf numFmtId="0" fontId="4" fillId="7" borderId="0" xfId="0" applyFont="1" applyFill="1" applyAlignment="1">
      <alignment horizontal="center" vertical="center"/>
    </xf>
    <xf numFmtId="0" fontId="0" fillId="0" borderId="0" xfId="0" applyAlignment="1">
      <alignment wrapText="1"/>
    </xf>
    <xf numFmtId="0" fontId="5" fillId="4" borderId="0" xfId="0" applyFont="1" applyFill="1"/>
    <xf numFmtId="0" fontId="5" fillId="5" borderId="1" xfId="0" applyFont="1" applyFill="1" applyBorder="1" applyAlignment="1">
      <alignment horizontal="center"/>
    </xf>
    <xf numFmtId="0" fontId="0" fillId="0" borderId="1" xfId="0" applyBorder="1" applyAlignment="1">
      <alignment horizontal="center" vertical="center"/>
    </xf>
    <xf numFmtId="0" fontId="9" fillId="6" borderId="4" xfId="0" applyFont="1" applyFill="1" applyBorder="1" applyAlignment="1">
      <alignment horizontal="center"/>
    </xf>
    <xf numFmtId="0" fontId="9" fillId="6" borderId="5" xfId="0" applyFont="1" applyFill="1" applyBorder="1" applyAlignment="1">
      <alignment horizontal="center"/>
    </xf>
    <xf numFmtId="0" fontId="9" fillId="6" borderId="6" xfId="0" applyFont="1" applyFill="1" applyBorder="1" applyAlignment="1">
      <alignment horizontal="center"/>
    </xf>
    <xf numFmtId="0" fontId="1" fillId="0" borderId="1" xfId="0" applyFont="1" applyBorder="1" applyAlignment="1">
      <alignment horizontal="center"/>
    </xf>
    <xf numFmtId="0" fontId="1" fillId="3" borderId="0" xfId="0" applyFont="1" applyFill="1" applyAlignment="1">
      <alignment horizontal="center"/>
    </xf>
    <xf numFmtId="0" fontId="8" fillId="8" borderId="1" xfId="0" applyFont="1" applyFill="1" applyBorder="1" applyAlignment="1">
      <alignment horizontal="center"/>
    </xf>
    <xf numFmtId="0" fontId="7" fillId="8" borderId="1" xfId="0" applyFont="1" applyFill="1" applyBorder="1" applyAlignment="1">
      <alignment horizontal="center" vertical="center" wrapText="1"/>
    </xf>
    <xf numFmtId="0" fontId="5" fillId="9" borderId="1" xfId="0" applyFont="1" applyFill="1" applyBorder="1" applyAlignment="1">
      <alignment horizontal="center"/>
    </xf>
    <xf numFmtId="0" fontId="9" fillId="6" borderId="0" xfId="0" applyFont="1" applyFill="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0" fillId="0" borderId="0" xfId="0"/>
  </cellXfs>
  <cellStyles count="1">
    <cellStyle name="Normal" xfId="0" builtinId="0"/>
  </cellStyles>
  <dxfs count="0"/>
  <tableStyles count="0" defaultTableStyle="TableStyleMedium2" defaultPivotStyle="PivotStyleLight16"/>
  <colors>
    <mruColors>
      <color rgb="FFFBD3F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601133</xdr:colOff>
      <xdr:row>0</xdr:row>
      <xdr:rowOff>0</xdr:rowOff>
    </xdr:from>
    <xdr:to>
      <xdr:col>28</xdr:col>
      <xdr:colOff>25400</xdr:colOff>
      <xdr:row>3</xdr:row>
      <xdr:rowOff>16933</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601133" y="0"/>
          <a:ext cx="16493067" cy="57573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FINANCIAL</a:t>
          </a:r>
          <a:r>
            <a:rPr lang="en-US" sz="4000" b="1" baseline="0">
              <a:solidFill>
                <a:schemeClr val="bg1"/>
              </a:solidFill>
            </a:rPr>
            <a:t> ANALYSIS PROJECT</a:t>
          </a:r>
          <a:endParaRPr lang="en-US" sz="1100" b="1">
            <a:solidFill>
              <a:schemeClr val="bg1"/>
            </a:solidFill>
          </a:endParaRPr>
        </a:p>
      </xdr:txBody>
    </xdr:sp>
    <xdr:clientData/>
  </xdr:twoCellAnchor>
  <xdr:twoCellAnchor>
    <xdr:from>
      <xdr:col>0</xdr:col>
      <xdr:colOff>609599</xdr:colOff>
      <xdr:row>4</xdr:row>
      <xdr:rowOff>4232</xdr:rowOff>
    </xdr:from>
    <xdr:to>
      <xdr:col>28</xdr:col>
      <xdr:colOff>0</xdr:colOff>
      <xdr:row>26</xdr:row>
      <xdr:rowOff>177800</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609599" y="749299"/>
          <a:ext cx="16459201" cy="4271434"/>
        </a:xfrm>
        <a:prstGeom prst="rect">
          <a:avLst/>
        </a:prstGeom>
        <a:solidFill>
          <a:srgbClr val="FBD3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Introduction </a:t>
          </a:r>
        </a:p>
        <a:p>
          <a:r>
            <a:rPr lang="en-IN"/>
            <a:t>The purpose of this project is to provide fundamental insights into how financial functions and terminologies work in Excel. It is essential to thoroughly understand the provided documentation and terms to efficiently utilize Excel's financial functions such as PV, NPV, XNPV, IRR, MIRR, and XIRR. This project involves analyzing a prepared dataset and applying these financial functions to derive meaningful financial insights. </a:t>
          </a:r>
        </a:p>
        <a:p>
          <a:r>
            <a:rPr lang="en-IN" b="1"/>
            <a:t>Objectives</a:t>
          </a:r>
          <a:r>
            <a:rPr lang="en-IN"/>
            <a:t> </a:t>
          </a:r>
        </a:p>
        <a:p>
          <a:r>
            <a:rPr lang="en-IN"/>
            <a:t>1. Understand and use Excel functions for financial analysis. </a:t>
          </a:r>
        </a:p>
        <a:p>
          <a:r>
            <a:rPr lang="en-IN"/>
            <a:t>2. Calculate present value, net present value, and internal rate of return for different scenarios. </a:t>
          </a:r>
        </a:p>
        <a:p>
          <a:r>
            <a:rPr lang="en-IN"/>
            <a:t>3. Determine the effective interest rate, loan term, and EMI for given financial data. </a:t>
          </a:r>
        </a:p>
        <a:p>
          <a:r>
            <a:rPr lang="en-IN"/>
            <a:t>4. Generate a detailed summary report of insights and analysis. </a:t>
          </a:r>
        </a:p>
        <a:p>
          <a:endParaRPr lang="en-IN"/>
        </a:p>
        <a:p>
          <a:r>
            <a:rPr lang="en-IN" b="1"/>
            <a:t>Key Financial Concepts and Functions </a:t>
          </a:r>
        </a:p>
        <a:p>
          <a:r>
            <a:rPr lang="en-IN" sz="1100">
              <a:solidFill>
                <a:schemeClr val="dk1"/>
              </a:solidFill>
              <a:effectLst/>
              <a:latin typeface="+mn-lt"/>
              <a:ea typeface="+mn-ea"/>
              <a:cs typeface="+mn-cs"/>
            </a:rPr>
            <a:t>* </a:t>
          </a:r>
          <a:r>
            <a:rPr lang="en-IN"/>
            <a:t> </a:t>
          </a:r>
          <a:r>
            <a:rPr lang="en-IN" b="1"/>
            <a:t>Annuity</a:t>
          </a:r>
          <a:r>
            <a:rPr lang="en-IN"/>
            <a:t> -</a:t>
          </a:r>
          <a:r>
            <a:rPr lang="en-IN" baseline="0"/>
            <a:t> </a:t>
          </a:r>
          <a:r>
            <a:rPr lang="en-IN"/>
            <a:t>An annuity is a series of constant cash payments made over a continuous period, such as retirement savings, insurance payments, or mortgage payments. </a:t>
          </a:r>
        </a:p>
        <a:p>
          <a:r>
            <a:rPr lang="en-IN"/>
            <a:t>In annuity functions: </a:t>
          </a:r>
          <a:r>
            <a:rPr lang="en-IN" baseline="0"/>
            <a:t> </a:t>
          </a:r>
          <a:r>
            <a:rPr lang="en-IN"/>
            <a:t>- A positive number represents cash received. </a:t>
          </a:r>
        </a:p>
        <a:p>
          <a:r>
            <a:rPr lang="en-IN"/>
            <a:t>                                       -</a:t>
          </a:r>
          <a:r>
            <a:rPr lang="en-IN" baseline="0"/>
            <a:t> </a:t>
          </a:r>
          <a:r>
            <a:rPr lang="en-IN"/>
            <a:t>A negative number represents cash paid out. </a:t>
          </a:r>
        </a:p>
        <a:p>
          <a:r>
            <a:rPr lang="en-IN"/>
            <a:t>* </a:t>
          </a:r>
          <a:r>
            <a:rPr lang="en-IN" b="1"/>
            <a:t>Present Value (PV) </a:t>
          </a:r>
          <a:r>
            <a:rPr lang="en-IN"/>
            <a:t>- The present value is the total amount that a series of future payments is worth now. Excel Function: PV =PV(rate, nper, pmt, [fv], [type])  rate: Interest rate per period.  nper: Total number of payment periods.  pmt: Payment made each period.  fv: Future value (optional).  type: Payment type (0 for end of period, 1 for beginning of period).  </a:t>
          </a:r>
        </a:p>
        <a:p>
          <a:r>
            <a:rPr lang="en-IN"/>
            <a:t>* </a:t>
          </a:r>
          <a:r>
            <a:rPr lang="en-IN" b="1"/>
            <a:t>Net Present Value (NPV) </a:t>
          </a:r>
          <a:r>
            <a:rPr lang="en-IN"/>
            <a:t>- NPV calculates the net present value of an investment based on a discount rate and a series of future payments and incomes. </a:t>
          </a:r>
        </a:p>
        <a:p>
          <a:r>
            <a:rPr lang="en-IN"/>
            <a:t>* </a:t>
          </a:r>
          <a:r>
            <a:rPr lang="en-IN" b="1"/>
            <a:t>XNPV</a:t>
          </a:r>
          <a:r>
            <a:rPr lang="en-IN"/>
            <a:t> - XNPV calculates the net present value for a schedule of cash flows that are not necessarily periodic. Excel Function: XNPV =XNPV(rate, values, dates)  rate: Discount rate.  values: Cash flows.  dates: Corresponding dates of the cash flows. </a:t>
          </a:r>
        </a:p>
        <a:p>
          <a:r>
            <a:rPr lang="en-IN" b="1"/>
            <a:t>* Equated Monthly Installment (EMI) </a:t>
          </a:r>
          <a:r>
            <a:rPr lang="en-IN"/>
            <a:t>- An EMI is a fixed payment amount made by a borrower to a lender at a specified date each calendar month. </a:t>
          </a:r>
        </a:p>
        <a:p>
          <a:r>
            <a:rPr lang="en-IN" sz="1100" b="1">
              <a:solidFill>
                <a:schemeClr val="dk1"/>
              </a:solidFill>
              <a:effectLst/>
              <a:latin typeface="+mn-lt"/>
              <a:ea typeface="+mn-ea"/>
              <a:cs typeface="+mn-cs"/>
            </a:rPr>
            <a:t>* </a:t>
          </a:r>
          <a:r>
            <a:rPr lang="en-IN" b="1"/>
            <a:t>Calculating Interest Rate - </a:t>
          </a:r>
          <a:r>
            <a:rPr lang="en-IN"/>
            <a:t>To find the interest rate required to pay back a loan: Excel Function: RATE =RATE(nper, pmt, pv, [fv], [type], [guess]) </a:t>
          </a:r>
        </a:p>
        <a:p>
          <a:r>
            <a:rPr lang="en-IN" sz="1100" b="1">
              <a:solidFill>
                <a:schemeClr val="dk1"/>
              </a:solidFill>
              <a:effectLst/>
              <a:latin typeface="+mn-lt"/>
              <a:ea typeface="+mn-ea"/>
              <a:cs typeface="+mn-cs"/>
            </a:rPr>
            <a:t>* </a:t>
          </a:r>
          <a:r>
            <a:rPr lang="en-IN" b="1"/>
            <a:t>Calculating Loan Term - </a:t>
          </a:r>
          <a:r>
            <a:rPr lang="en-IN"/>
            <a:t>To determine the number of payments required to clear a loan: Excel Function: NPER =NPER(rate, pmt, pv, [fv], [type]) </a:t>
          </a:r>
        </a:p>
        <a:p>
          <a:r>
            <a:rPr lang="en-IN" b="1"/>
            <a:t>* Internal Rate of Return (IRR) </a:t>
          </a:r>
          <a:r>
            <a:rPr lang="en-IN"/>
            <a:t>- IRR is the rate of interest at which NPV is zero.</a:t>
          </a:r>
        </a:p>
        <a:p>
          <a:r>
            <a:rPr lang="en-IN" b="1"/>
            <a:t>* Modified IRR (MIRR) </a:t>
          </a:r>
          <a:r>
            <a:rPr lang="en-IN"/>
            <a:t>- MIRR takes into account different finance and reinvestment rates.</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D1231" sqref="D1231"/>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5364-CF83-4A12-8504-ABAC03A6DDCD}">
  <dimension ref="A1:B23"/>
  <sheetViews>
    <sheetView workbookViewId="0">
      <selection sqref="A1:B1"/>
    </sheetView>
  </sheetViews>
  <sheetFormatPr defaultRowHeight="14.4" x14ac:dyDescent="0.3"/>
  <cols>
    <col min="1" max="1" width="21.77734375" customWidth="1"/>
    <col min="2" max="2" width="37" customWidth="1"/>
  </cols>
  <sheetData>
    <row r="1" spans="1:2" ht="24.6" x14ac:dyDescent="0.3">
      <c r="A1" s="95" t="s">
        <v>68</v>
      </c>
      <c r="B1" s="95"/>
    </row>
    <row r="3" spans="1:2" x14ac:dyDescent="0.3">
      <c r="A3" s="62" t="s">
        <v>48</v>
      </c>
      <c r="B3" s="62" t="s">
        <v>49</v>
      </c>
    </row>
    <row r="4" spans="1:2" x14ac:dyDescent="0.3">
      <c r="A4" s="39" t="s">
        <v>4</v>
      </c>
      <c r="B4" s="39" t="s">
        <v>50</v>
      </c>
    </row>
    <row r="5" spans="1:2" x14ac:dyDescent="0.3">
      <c r="A5" s="39" t="s">
        <v>35</v>
      </c>
      <c r="B5" s="39" t="s">
        <v>51</v>
      </c>
    </row>
    <row r="6" spans="1:2" x14ac:dyDescent="0.3">
      <c r="A6" s="39" t="s">
        <v>52</v>
      </c>
      <c r="B6" s="39" t="s">
        <v>53</v>
      </c>
    </row>
    <row r="7" spans="1:2" x14ac:dyDescent="0.3">
      <c r="A7" s="39" t="s">
        <v>54</v>
      </c>
      <c r="B7" s="39" t="s">
        <v>55</v>
      </c>
    </row>
    <row r="8" spans="1:2" x14ac:dyDescent="0.3">
      <c r="A8" s="39" t="s">
        <v>56</v>
      </c>
      <c r="B8" s="39" t="s">
        <v>57</v>
      </c>
    </row>
    <row r="9" spans="1:2" x14ac:dyDescent="0.3">
      <c r="A9" s="39" t="s">
        <v>58</v>
      </c>
      <c r="B9" s="39" t="s">
        <v>59</v>
      </c>
    </row>
    <row r="10" spans="1:2" x14ac:dyDescent="0.3">
      <c r="A10" s="39" t="s">
        <v>60</v>
      </c>
      <c r="B10" s="39" t="s">
        <v>61</v>
      </c>
    </row>
    <row r="11" spans="1:2" x14ac:dyDescent="0.3">
      <c r="A11" s="39" t="s">
        <v>62</v>
      </c>
      <c r="B11" s="39" t="s">
        <v>63</v>
      </c>
    </row>
    <row r="12" spans="1:2" x14ac:dyDescent="0.3">
      <c r="A12" s="39" t="s">
        <v>38</v>
      </c>
      <c r="B12" s="39" t="s">
        <v>64</v>
      </c>
    </row>
    <row r="13" spans="1:2" x14ac:dyDescent="0.3">
      <c r="A13" s="39" t="s">
        <v>43</v>
      </c>
      <c r="B13" s="39" t="s">
        <v>65</v>
      </c>
    </row>
    <row r="14" spans="1:2" x14ac:dyDescent="0.3">
      <c r="A14" s="39" t="s">
        <v>47</v>
      </c>
      <c r="B14" s="39" t="s">
        <v>66</v>
      </c>
    </row>
    <row r="17" spans="1:2" x14ac:dyDescent="0.3">
      <c r="A17" s="97" t="s">
        <v>67</v>
      </c>
      <c r="B17" s="97"/>
    </row>
    <row r="18" spans="1:2" x14ac:dyDescent="0.3">
      <c r="A18" s="96" t="s">
        <v>69</v>
      </c>
      <c r="B18" s="96"/>
    </row>
    <row r="19" spans="1:2" x14ac:dyDescent="0.3">
      <c r="A19" s="96" t="s">
        <v>70</v>
      </c>
      <c r="B19" s="96"/>
    </row>
    <row r="20" spans="1:2" x14ac:dyDescent="0.3">
      <c r="A20" s="96" t="s">
        <v>71</v>
      </c>
      <c r="B20" s="96"/>
    </row>
    <row r="21" spans="1:2" x14ac:dyDescent="0.3">
      <c r="A21" s="96" t="s">
        <v>72</v>
      </c>
      <c r="B21" s="96"/>
    </row>
    <row r="22" spans="1:2" x14ac:dyDescent="0.3">
      <c r="A22" s="96" t="s">
        <v>73</v>
      </c>
      <c r="B22" s="96"/>
    </row>
    <row r="23" spans="1:2" x14ac:dyDescent="0.3">
      <c r="A23" s="96" t="s">
        <v>74</v>
      </c>
      <c r="B23" s="96"/>
    </row>
  </sheetData>
  <mergeCells count="8">
    <mergeCell ref="A22:B22"/>
    <mergeCell ref="A23:B23"/>
    <mergeCell ref="A1:B1"/>
    <mergeCell ref="A17:B17"/>
    <mergeCell ref="A18:B18"/>
    <mergeCell ref="A19:B19"/>
    <mergeCell ref="A20:B20"/>
    <mergeCell ref="A21: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494F-142A-418B-9F99-21A4E473B2D6}">
  <dimension ref="A1:E11"/>
  <sheetViews>
    <sheetView tabSelected="1" workbookViewId="0">
      <selection activeCell="B8" sqref="B8"/>
    </sheetView>
  </sheetViews>
  <sheetFormatPr defaultRowHeight="14.4" x14ac:dyDescent="0.3"/>
  <cols>
    <col min="1" max="1" width="18.5546875" customWidth="1"/>
    <col min="2" max="2" width="27.77734375" customWidth="1"/>
    <col min="4" max="4" width="25.6640625" customWidth="1"/>
    <col min="5" max="5" width="19.77734375" customWidth="1"/>
  </cols>
  <sheetData>
    <row r="1" spans="1:5" ht="26.4" thickBot="1" x14ac:dyDescent="0.55000000000000004">
      <c r="A1" s="100" t="s">
        <v>6</v>
      </c>
      <c r="B1" s="101"/>
      <c r="C1" s="101"/>
      <c r="D1" s="101"/>
      <c r="E1" s="102"/>
    </row>
    <row r="2" spans="1:5" ht="15.6" x14ac:dyDescent="0.3">
      <c r="A2" s="45"/>
      <c r="B2" s="45"/>
      <c r="C2" s="45"/>
      <c r="D2" s="45"/>
      <c r="E2" s="45"/>
    </row>
    <row r="3" spans="1:5" x14ac:dyDescent="0.3">
      <c r="A3" s="4" t="s">
        <v>0</v>
      </c>
      <c r="B3" s="2">
        <v>32000</v>
      </c>
      <c r="C3" s="1"/>
      <c r="D3" s="4" t="s">
        <v>0</v>
      </c>
      <c r="E3" s="2">
        <v>32000</v>
      </c>
    </row>
    <row r="4" spans="1:5" x14ac:dyDescent="0.3">
      <c r="A4" s="4" t="s">
        <v>1</v>
      </c>
      <c r="B4" s="2">
        <v>0.13</v>
      </c>
      <c r="C4" s="1"/>
      <c r="D4" s="4" t="s">
        <v>1</v>
      </c>
      <c r="E4" s="2">
        <v>0.13</v>
      </c>
    </row>
    <row r="5" spans="1:5" x14ac:dyDescent="0.3">
      <c r="A5" s="4" t="s">
        <v>2</v>
      </c>
      <c r="B5" s="2">
        <v>8</v>
      </c>
      <c r="C5" s="1"/>
      <c r="D5" s="4" t="s">
        <v>2</v>
      </c>
      <c r="E5" s="2">
        <v>8</v>
      </c>
    </row>
    <row r="6" spans="1:5" x14ac:dyDescent="0.3">
      <c r="A6" s="4" t="s">
        <v>5</v>
      </c>
      <c r="B6" s="2">
        <v>-6000</v>
      </c>
      <c r="C6" s="1"/>
      <c r="D6" s="4" t="s">
        <v>5</v>
      </c>
      <c r="E6" s="2">
        <v>-6000</v>
      </c>
    </row>
    <row r="7" spans="1:5" x14ac:dyDescent="0.3">
      <c r="A7" s="103" t="s">
        <v>3</v>
      </c>
      <c r="B7" s="103"/>
      <c r="D7" s="103" t="s">
        <v>112</v>
      </c>
      <c r="E7" s="103"/>
    </row>
    <row r="8" spans="1:5" x14ac:dyDescent="0.3">
      <c r="A8" s="4" t="s">
        <v>4</v>
      </c>
      <c r="B8" s="46">
        <f>PV(B4,B5,B6,,0)</f>
        <v>28792.621766665405</v>
      </c>
      <c r="C8" s="1"/>
      <c r="D8" s="4" t="s">
        <v>4</v>
      </c>
      <c r="E8" s="46">
        <f>PV(E4,E5,E6,,1)</f>
        <v>32535.662596331898</v>
      </c>
    </row>
    <row r="9" spans="1:5" x14ac:dyDescent="0.3">
      <c r="A9" s="43"/>
      <c r="B9" s="44"/>
      <c r="C9" s="1"/>
      <c r="D9" s="43"/>
      <c r="E9" s="44"/>
    </row>
    <row r="10" spans="1:5" x14ac:dyDescent="0.3">
      <c r="A10" s="98" t="s">
        <v>78</v>
      </c>
      <c r="B10" s="98"/>
      <c r="D10" s="98" t="s">
        <v>78</v>
      </c>
      <c r="E10" s="98"/>
    </row>
    <row r="11" spans="1:5" x14ac:dyDescent="0.3">
      <c r="A11" s="99" t="s">
        <v>80</v>
      </c>
      <c r="B11" s="99"/>
      <c r="D11" s="99" t="s">
        <v>82</v>
      </c>
      <c r="E11" s="99"/>
    </row>
  </sheetData>
  <mergeCells count="7">
    <mergeCell ref="A10:B10"/>
    <mergeCell ref="A11:B11"/>
    <mergeCell ref="D10:E10"/>
    <mergeCell ref="D11:E11"/>
    <mergeCell ref="A1:E1"/>
    <mergeCell ref="A7:B7"/>
    <mergeCell ref="D7: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7818-4217-4EFE-B0FE-22CD67F9BCDE}">
  <dimension ref="A1:F51"/>
  <sheetViews>
    <sheetView workbookViewId="0">
      <selection activeCell="A5" sqref="A5:B12"/>
    </sheetView>
  </sheetViews>
  <sheetFormatPr defaultRowHeight="14.4" x14ac:dyDescent="0.3"/>
  <cols>
    <col min="1" max="1" width="28.109375" customWidth="1"/>
    <col min="2" max="2" width="15.77734375" bestFit="1" customWidth="1"/>
    <col min="3" max="3" width="11.109375" bestFit="1" customWidth="1"/>
    <col min="4" max="4" width="15.6640625" bestFit="1" customWidth="1"/>
    <col min="5" max="5" width="12" bestFit="1" customWidth="1"/>
    <col min="6" max="6" width="13.33203125" bestFit="1" customWidth="1"/>
  </cols>
  <sheetData>
    <row r="1" spans="1:6" ht="26.4" thickBot="1" x14ac:dyDescent="0.55000000000000004">
      <c r="A1" s="100" t="s">
        <v>114</v>
      </c>
      <c r="B1" s="101"/>
      <c r="C1" s="101"/>
      <c r="D1" s="101"/>
      <c r="E1" s="101"/>
      <c r="F1" s="102"/>
    </row>
    <row r="3" spans="1:6" x14ac:dyDescent="0.3">
      <c r="A3" s="104" t="s">
        <v>102</v>
      </c>
      <c r="B3" s="104"/>
      <c r="C3" s="104"/>
      <c r="D3" s="104"/>
      <c r="E3" s="104"/>
      <c r="F3" s="104"/>
    </row>
    <row r="4" spans="1:6" x14ac:dyDescent="0.3">
      <c r="A4" s="106" t="s">
        <v>103</v>
      </c>
      <c r="B4" s="106"/>
      <c r="D4" s="106" t="s">
        <v>104</v>
      </c>
      <c r="E4" s="106"/>
    </row>
    <row r="5" spans="1:6" x14ac:dyDescent="0.3">
      <c r="A5" s="47" t="s">
        <v>7</v>
      </c>
      <c r="B5" s="47">
        <v>0.12</v>
      </c>
      <c r="D5" s="47" t="s">
        <v>7</v>
      </c>
      <c r="E5" s="47">
        <v>0.16</v>
      </c>
    </row>
    <row r="6" spans="1:6" x14ac:dyDescent="0.3">
      <c r="A6" s="47" t="s">
        <v>8</v>
      </c>
      <c r="B6" s="47">
        <f>B5/12</f>
        <v>0.01</v>
      </c>
      <c r="D6" s="47" t="s">
        <v>8</v>
      </c>
      <c r="E6" s="47">
        <f>E5/12</f>
        <v>1.3333333333333334E-2</v>
      </c>
    </row>
    <row r="7" spans="1:6" x14ac:dyDescent="0.3">
      <c r="A7" s="47" t="s">
        <v>9</v>
      </c>
      <c r="B7" s="47">
        <v>25</v>
      </c>
      <c r="D7" s="47" t="s">
        <v>9</v>
      </c>
      <c r="E7" s="47">
        <v>8</v>
      </c>
    </row>
    <row r="8" spans="1:6" x14ac:dyDescent="0.3">
      <c r="A8" s="47" t="s">
        <v>10</v>
      </c>
      <c r="B8" s="47">
        <f>B7*12</f>
        <v>300</v>
      </c>
      <c r="D8" s="47" t="s">
        <v>11</v>
      </c>
      <c r="E8" s="47">
        <v>-100000</v>
      </c>
    </row>
    <row r="9" spans="1:6" x14ac:dyDescent="0.3">
      <c r="A9" s="47" t="s">
        <v>11</v>
      </c>
      <c r="B9" s="47">
        <v>-5000000</v>
      </c>
      <c r="D9" s="47" t="s">
        <v>12</v>
      </c>
      <c r="E9" s="47">
        <v>0</v>
      </c>
    </row>
    <row r="10" spans="1:6" x14ac:dyDescent="0.3">
      <c r="A10" s="47" t="s">
        <v>12</v>
      </c>
      <c r="B10" s="47">
        <v>0</v>
      </c>
      <c r="D10" s="47" t="s">
        <v>13</v>
      </c>
      <c r="E10" s="47">
        <v>0</v>
      </c>
    </row>
    <row r="11" spans="1:6" x14ac:dyDescent="0.3">
      <c r="A11" s="47" t="s">
        <v>13</v>
      </c>
      <c r="B11" s="47">
        <v>1</v>
      </c>
      <c r="D11" s="47" t="s">
        <v>14</v>
      </c>
      <c r="E11" s="48">
        <f>PMT(E6,E7,E8,E9,E10)</f>
        <v>13261.587371330586</v>
      </c>
    </row>
    <row r="12" spans="1:6" x14ac:dyDescent="0.3">
      <c r="A12" s="47" t="s">
        <v>14</v>
      </c>
      <c r="B12" s="48">
        <f>PMT(B6,B8,B9,B10,B11)</f>
        <v>52139.809019684551</v>
      </c>
    </row>
    <row r="14" spans="1:6" x14ac:dyDescent="0.3">
      <c r="A14" s="104" t="s">
        <v>115</v>
      </c>
      <c r="B14" s="104"/>
      <c r="C14" s="104"/>
      <c r="D14" s="104"/>
      <c r="E14" s="104"/>
      <c r="F14" s="104"/>
    </row>
    <row r="15" spans="1:6" x14ac:dyDescent="0.3">
      <c r="A15" s="47" t="s">
        <v>8</v>
      </c>
      <c r="B15" s="47">
        <v>1.2999999999999999E-2</v>
      </c>
    </row>
    <row r="16" spans="1:6" x14ac:dyDescent="0.3">
      <c r="A16" s="47" t="s">
        <v>15</v>
      </c>
      <c r="B16" s="47">
        <v>8</v>
      </c>
    </row>
    <row r="17" spans="1:6" x14ac:dyDescent="0.3">
      <c r="A17" s="47" t="s">
        <v>11</v>
      </c>
      <c r="B17" s="47">
        <v>100000</v>
      </c>
    </row>
    <row r="18" spans="1:6" x14ac:dyDescent="0.3">
      <c r="A18" s="47" t="s">
        <v>12</v>
      </c>
      <c r="B18" s="47">
        <v>0</v>
      </c>
    </row>
    <row r="19" spans="1:6" x14ac:dyDescent="0.3">
      <c r="A19" s="47" t="s">
        <v>13</v>
      </c>
      <c r="B19" s="47">
        <v>0</v>
      </c>
    </row>
    <row r="20" spans="1:6" x14ac:dyDescent="0.3">
      <c r="A20" s="47" t="s">
        <v>14</v>
      </c>
      <c r="B20" s="48">
        <f>PMT(B15,B16,B17,B18,B19)</f>
        <v>-13242.267163680835</v>
      </c>
    </row>
    <row r="21" spans="1:6" ht="15" thickBot="1" x14ac:dyDescent="0.35"/>
    <row r="22" spans="1:6" ht="15" thickBot="1" x14ac:dyDescent="0.35">
      <c r="A22" s="68" t="s">
        <v>16</v>
      </c>
      <c r="B22" s="69" t="s">
        <v>17</v>
      </c>
      <c r="C22" s="69" t="s">
        <v>14</v>
      </c>
      <c r="D22" s="69" t="s">
        <v>18</v>
      </c>
      <c r="E22" s="69" t="s">
        <v>19</v>
      </c>
      <c r="F22" s="70" t="s">
        <v>20</v>
      </c>
    </row>
    <row r="23" spans="1:6" x14ac:dyDescent="0.3">
      <c r="A23" s="53">
        <v>1</v>
      </c>
      <c r="B23" s="54">
        <f>B17</f>
        <v>100000</v>
      </c>
      <c r="C23" s="54">
        <f>-$B$20</f>
        <v>13242.267163680835</v>
      </c>
      <c r="D23" s="54">
        <f>-IPMT($B$15,A23,$B$16,$B$17,$B$18,$B$19)</f>
        <v>1300</v>
      </c>
      <c r="E23" s="54">
        <f>-PPMT($B$15,A23,$B$16,$B$17,$B$18,$B$19)</f>
        <v>11942.267163680835</v>
      </c>
      <c r="F23" s="55">
        <f>B23-E23</f>
        <v>88057.732836319163</v>
      </c>
    </row>
    <row r="24" spans="1:6" x14ac:dyDescent="0.3">
      <c r="A24" s="56">
        <f>A23+1</f>
        <v>2</v>
      </c>
      <c r="B24" s="52">
        <f>F23</f>
        <v>88057.732836319163</v>
      </c>
      <c r="C24" s="54">
        <f t="shared" ref="C24:C30" si="0">-$B$20</f>
        <v>13242.267163680835</v>
      </c>
      <c r="D24" s="54">
        <f t="shared" ref="D24:D30" si="1">-IPMT($B$15,A24,$B$16,$B$17,$B$18,$B$19)</f>
        <v>1144.7505268721491</v>
      </c>
      <c r="E24" s="54">
        <f t="shared" ref="E24:E30" si="2">-PPMT($B$15,A24,$B$16,$B$17,$B$18,$B$19)</f>
        <v>12097.516636808687</v>
      </c>
      <c r="F24" s="55">
        <f t="shared" ref="F24:F30" si="3">B24-E24</f>
        <v>75960.216199510469</v>
      </c>
    </row>
    <row r="25" spans="1:6" x14ac:dyDescent="0.3">
      <c r="A25" s="56">
        <f t="shared" ref="A25:A29" si="4">A24+1</f>
        <v>3</v>
      </c>
      <c r="B25" s="52">
        <f t="shared" ref="B25:B29" si="5">F24</f>
        <v>75960.216199510469</v>
      </c>
      <c r="C25" s="54">
        <f t="shared" si="0"/>
        <v>13242.267163680835</v>
      </c>
      <c r="D25" s="54">
        <f t="shared" si="1"/>
        <v>987.48281059363603</v>
      </c>
      <c r="E25" s="54">
        <f t="shared" si="2"/>
        <v>12254.7843530872</v>
      </c>
      <c r="F25" s="55">
        <f t="shared" si="3"/>
        <v>63705.431846423271</v>
      </c>
    </row>
    <row r="26" spans="1:6" x14ac:dyDescent="0.3">
      <c r="A26" s="56">
        <f t="shared" si="4"/>
        <v>4</v>
      </c>
      <c r="B26" s="52">
        <f t="shared" si="5"/>
        <v>63705.431846423271</v>
      </c>
      <c r="C26" s="54">
        <f t="shared" si="0"/>
        <v>13242.267163680835</v>
      </c>
      <c r="D26" s="54">
        <f t="shared" si="1"/>
        <v>828.17061400350269</v>
      </c>
      <c r="E26" s="54">
        <f t="shared" si="2"/>
        <v>12414.096549677333</v>
      </c>
      <c r="F26" s="55">
        <f t="shared" si="3"/>
        <v>51291.335296745936</v>
      </c>
    </row>
    <row r="27" spans="1:6" x14ac:dyDescent="0.3">
      <c r="A27" s="56">
        <f t="shared" si="4"/>
        <v>5</v>
      </c>
      <c r="B27" s="52">
        <f t="shared" si="5"/>
        <v>51291.335296745936</v>
      </c>
      <c r="C27" s="54">
        <f t="shared" si="0"/>
        <v>13242.267163680835</v>
      </c>
      <c r="D27" s="54">
        <f t="shared" si="1"/>
        <v>666.78735885769731</v>
      </c>
      <c r="E27" s="54">
        <f t="shared" si="2"/>
        <v>12575.479804823137</v>
      </c>
      <c r="F27" s="55">
        <f t="shared" si="3"/>
        <v>38715.855491922797</v>
      </c>
    </row>
    <row r="28" spans="1:6" x14ac:dyDescent="0.3">
      <c r="A28" s="56">
        <f t="shared" si="4"/>
        <v>6</v>
      </c>
      <c r="B28" s="52">
        <f t="shared" si="5"/>
        <v>38715.855491922797</v>
      </c>
      <c r="C28" s="54">
        <f t="shared" si="0"/>
        <v>13242.267163680835</v>
      </c>
      <c r="D28" s="54">
        <f t="shared" si="1"/>
        <v>503.30612139499652</v>
      </c>
      <c r="E28" s="54">
        <f t="shared" si="2"/>
        <v>12738.961042285839</v>
      </c>
      <c r="F28" s="55">
        <f t="shared" si="3"/>
        <v>25976.894449636959</v>
      </c>
    </row>
    <row r="29" spans="1:6" x14ac:dyDescent="0.3">
      <c r="A29" s="56">
        <f t="shared" si="4"/>
        <v>7</v>
      </c>
      <c r="B29" s="52">
        <f t="shared" si="5"/>
        <v>25976.894449636959</v>
      </c>
      <c r="C29" s="54">
        <f t="shared" si="0"/>
        <v>13242.267163680835</v>
      </c>
      <c r="D29" s="54">
        <f t="shared" si="1"/>
        <v>337.69962784528065</v>
      </c>
      <c r="E29" s="54">
        <f t="shared" si="2"/>
        <v>12904.567535835553</v>
      </c>
      <c r="F29" s="55">
        <f t="shared" si="3"/>
        <v>13072.326913801406</v>
      </c>
    </row>
    <row r="30" spans="1:6" ht="15" thickBot="1" x14ac:dyDescent="0.35">
      <c r="A30" s="57">
        <f>A29+1</f>
        <v>8</v>
      </c>
      <c r="B30" s="58">
        <f>F29</f>
        <v>13072.326913801406</v>
      </c>
      <c r="C30" s="54">
        <f t="shared" si="0"/>
        <v>13242.267163680835</v>
      </c>
      <c r="D30" s="54">
        <f t="shared" si="1"/>
        <v>169.94024987941845</v>
      </c>
      <c r="E30" s="54">
        <f t="shared" si="2"/>
        <v>13072.326913801417</v>
      </c>
      <c r="F30" s="55">
        <f t="shared" si="3"/>
        <v>0</v>
      </c>
    </row>
    <row r="32" spans="1:6" ht="15" thickBot="1" x14ac:dyDescent="0.35">
      <c r="A32" s="104" t="s">
        <v>105</v>
      </c>
      <c r="B32" s="104"/>
      <c r="C32" s="104"/>
      <c r="D32" s="104"/>
      <c r="E32" s="104"/>
      <c r="F32" s="104"/>
    </row>
    <row r="33" spans="1:6" ht="29.4" thickBot="1" x14ac:dyDescent="0.35">
      <c r="A33" s="49" t="s">
        <v>21</v>
      </c>
    </row>
    <row r="34" spans="1:6" x14ac:dyDescent="0.3">
      <c r="A34" s="50">
        <f>-CUMIPMT(B15,B16,B17,2,3,B19)</f>
        <v>2132.2333374657865</v>
      </c>
    </row>
    <row r="35" spans="1:6" ht="15" thickBot="1" x14ac:dyDescent="0.35">
      <c r="A35" s="51">
        <f>D24+D25</f>
        <v>2132.2333374657851</v>
      </c>
    </row>
    <row r="36" spans="1:6" ht="29.4" thickBot="1" x14ac:dyDescent="0.35">
      <c r="A36" s="59" t="s">
        <v>22</v>
      </c>
    </row>
    <row r="37" spans="1:6" x14ac:dyDescent="0.3">
      <c r="A37" s="50">
        <f>-CUMPRINC(B15,B16,B17,2,3,B19)</f>
        <v>24352.300989895884</v>
      </c>
    </row>
    <row r="38" spans="1:6" x14ac:dyDescent="0.3">
      <c r="A38" s="52">
        <f>E24+E25</f>
        <v>24352.300989895884</v>
      </c>
    </row>
    <row r="40" spans="1:6" x14ac:dyDescent="0.3">
      <c r="A40" s="104" t="s">
        <v>106</v>
      </c>
      <c r="B40" s="104"/>
      <c r="C40" s="104"/>
      <c r="D40" s="104"/>
      <c r="E40" s="104"/>
      <c r="F40" s="104"/>
    </row>
    <row r="41" spans="1:6" x14ac:dyDescent="0.3">
      <c r="A41" s="107" t="s">
        <v>60</v>
      </c>
      <c r="B41" s="107"/>
    </row>
    <row r="42" spans="1:6" x14ac:dyDescent="0.3">
      <c r="A42" s="47" t="s">
        <v>23</v>
      </c>
      <c r="B42" s="47">
        <v>100000</v>
      </c>
    </row>
    <row r="43" spans="1:6" x14ac:dyDescent="0.3">
      <c r="A43" s="47" t="s">
        <v>24</v>
      </c>
      <c r="B43" s="47">
        <v>15</v>
      </c>
    </row>
    <row r="44" spans="1:6" x14ac:dyDescent="0.3">
      <c r="A44" s="47" t="s">
        <v>14</v>
      </c>
      <c r="B44" s="47">
        <v>-12000</v>
      </c>
    </row>
    <row r="45" spans="1:6" x14ac:dyDescent="0.3">
      <c r="A45" s="47" t="s">
        <v>18</v>
      </c>
      <c r="B45" s="60">
        <f>RATE(B43,B44,B42,,0,)</f>
        <v>8.4417979849311348E-2</v>
      </c>
    </row>
    <row r="47" spans="1:6" ht="15.6" x14ac:dyDescent="0.3">
      <c r="A47" s="105" t="s">
        <v>25</v>
      </c>
      <c r="B47" s="105"/>
    </row>
    <row r="48" spans="1:6" x14ac:dyDescent="0.3">
      <c r="A48" s="47" t="s">
        <v>23</v>
      </c>
      <c r="B48" s="47">
        <v>100000</v>
      </c>
    </row>
    <row r="49" spans="1:2" x14ac:dyDescent="0.3">
      <c r="A49" s="47" t="s">
        <v>18</v>
      </c>
      <c r="B49" s="47">
        <v>0.1</v>
      </c>
    </row>
    <row r="50" spans="1:2" x14ac:dyDescent="0.3">
      <c r="A50" s="47" t="s">
        <v>14</v>
      </c>
      <c r="B50" s="47">
        <v>-15000</v>
      </c>
    </row>
    <row r="51" spans="1:2" x14ac:dyDescent="0.3">
      <c r="A51" s="47" t="s">
        <v>24</v>
      </c>
      <c r="B51" s="61">
        <f>NPER(B49,B50,B48,,0)</f>
        <v>11.526704607247604</v>
      </c>
    </row>
  </sheetData>
  <mergeCells count="9">
    <mergeCell ref="A32:F32"/>
    <mergeCell ref="A40:F40"/>
    <mergeCell ref="A14:F14"/>
    <mergeCell ref="A1:F1"/>
    <mergeCell ref="A47:B47"/>
    <mergeCell ref="A3:F3"/>
    <mergeCell ref="A4:B4"/>
    <mergeCell ref="D4:E4"/>
    <mergeCell ref="A41:B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8843-ADCF-461E-BAB7-6CD5FF8DE463}">
  <dimension ref="A1:E14"/>
  <sheetViews>
    <sheetView workbookViewId="0">
      <selection activeCell="A3" sqref="A3:C9"/>
    </sheetView>
  </sheetViews>
  <sheetFormatPr defaultRowHeight="14.4" x14ac:dyDescent="0.3"/>
  <cols>
    <col min="1" max="1" width="18.109375" bestFit="1" customWidth="1"/>
    <col min="2" max="3" width="13.109375" bestFit="1" customWidth="1"/>
    <col min="4" max="4" width="11.88671875" bestFit="1" customWidth="1"/>
  </cols>
  <sheetData>
    <row r="1" spans="1:5" ht="25.8" x14ac:dyDescent="0.5">
      <c r="A1" s="108" t="s">
        <v>36</v>
      </c>
      <c r="B1" s="108"/>
      <c r="C1" s="108"/>
      <c r="D1" s="108"/>
      <c r="E1" s="108"/>
    </row>
    <row r="3" spans="1:5" x14ac:dyDescent="0.3">
      <c r="A3" s="2" t="s">
        <v>1</v>
      </c>
      <c r="B3" s="74">
        <v>0.2</v>
      </c>
      <c r="C3" s="2"/>
    </row>
    <row r="4" spans="1:5" x14ac:dyDescent="0.3">
      <c r="A4" s="2"/>
      <c r="B4" s="109" t="s">
        <v>26</v>
      </c>
      <c r="C4" s="110"/>
    </row>
    <row r="5" spans="1:5" x14ac:dyDescent="0.3">
      <c r="A5" s="74" t="s">
        <v>27</v>
      </c>
      <c r="B5" s="74" t="s">
        <v>28</v>
      </c>
      <c r="C5" s="74" t="s">
        <v>29</v>
      </c>
    </row>
    <row r="6" spans="1:5" x14ac:dyDescent="0.3">
      <c r="A6" s="2">
        <v>1</v>
      </c>
      <c r="B6" s="2">
        <v>-10000</v>
      </c>
      <c r="C6" s="2">
        <v>-5000</v>
      </c>
    </row>
    <row r="7" spans="1:5" x14ac:dyDescent="0.3">
      <c r="A7" s="2">
        <v>2</v>
      </c>
      <c r="B7" s="2">
        <v>25000</v>
      </c>
      <c r="C7" s="2">
        <v>20000</v>
      </c>
    </row>
    <row r="8" spans="1:5" x14ac:dyDescent="0.3">
      <c r="A8" s="2">
        <v>3</v>
      </c>
      <c r="B8" s="2">
        <v>-7000</v>
      </c>
      <c r="C8" s="2">
        <v>-8000</v>
      </c>
    </row>
    <row r="9" spans="1:5" x14ac:dyDescent="0.3">
      <c r="A9" s="2" t="s">
        <v>30</v>
      </c>
      <c r="B9" s="2">
        <f>SUM(B6:B8)</f>
        <v>8000</v>
      </c>
      <c r="C9" s="2">
        <f>SUM(C6:C8)</f>
        <v>7000</v>
      </c>
    </row>
    <row r="10" spans="1:5" x14ac:dyDescent="0.3">
      <c r="A10" s="1"/>
      <c r="B10" s="1"/>
      <c r="C10" s="1"/>
    </row>
    <row r="11" spans="1:5" ht="28.2" x14ac:dyDescent="0.3">
      <c r="A11" s="82" t="s">
        <v>107</v>
      </c>
      <c r="B11" s="82" t="s">
        <v>108</v>
      </c>
      <c r="C11" s="82" t="s">
        <v>109</v>
      </c>
      <c r="D11" s="82" t="s">
        <v>92</v>
      </c>
    </row>
    <row r="12" spans="1:5" x14ac:dyDescent="0.3">
      <c r="A12" s="2" t="s">
        <v>31</v>
      </c>
      <c r="B12" s="3">
        <f>NPV(B3,B6:B8)</f>
        <v>4976.851851851854</v>
      </c>
      <c r="C12" s="3">
        <f>NPV(B3,C6:C8)</f>
        <v>5092.592592592594</v>
      </c>
      <c r="D12" s="83" t="s">
        <v>109</v>
      </c>
    </row>
    <row r="13" spans="1:5" x14ac:dyDescent="0.3">
      <c r="A13" s="2" t="s">
        <v>32</v>
      </c>
      <c r="B13" s="8">
        <f>B6+NPV(B3,B7:B8)</f>
        <v>5972.2222222222208</v>
      </c>
      <c r="C13" s="3">
        <f>C6+NPV(B3,C7:C8)</f>
        <v>6111.1111111111113</v>
      </c>
      <c r="D13" s="83" t="s">
        <v>109</v>
      </c>
    </row>
    <row r="14" spans="1:5" x14ac:dyDescent="0.3">
      <c r="A14" s="2" t="s">
        <v>33</v>
      </c>
      <c r="B14" s="3">
        <f>SQRT(1+B3)*B12</f>
        <v>5451.8680492412386</v>
      </c>
      <c r="C14" s="3">
        <f>SQRT(1+B3)*C12</f>
        <v>5578.6556782933594</v>
      </c>
      <c r="D14" s="83" t="s">
        <v>109</v>
      </c>
    </row>
  </sheetData>
  <mergeCells count="2">
    <mergeCell ref="A1:E1"/>
    <mergeCell ref="B4:C4"/>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8EE6-93FE-4E31-9AEE-ECC49D164F46}">
  <dimension ref="A1:I23"/>
  <sheetViews>
    <sheetView workbookViewId="0">
      <selection sqref="A1:H1"/>
    </sheetView>
  </sheetViews>
  <sheetFormatPr defaultRowHeight="14.4" x14ac:dyDescent="0.3"/>
  <cols>
    <col min="1" max="1" width="11.88671875" bestFit="1" customWidth="1"/>
    <col min="2" max="2" width="11.6640625" bestFit="1" customWidth="1"/>
    <col min="4" max="4" width="11.88671875" bestFit="1" customWidth="1"/>
  </cols>
  <sheetData>
    <row r="1" spans="1:8" ht="24.6" x14ac:dyDescent="0.3">
      <c r="A1" s="95" t="s">
        <v>117</v>
      </c>
      <c r="B1" s="95"/>
      <c r="C1" s="95"/>
      <c r="D1" s="95"/>
      <c r="E1" s="95"/>
      <c r="F1" s="95"/>
      <c r="G1" s="95"/>
      <c r="H1" s="95"/>
    </row>
    <row r="2" spans="1:8" ht="15" thickBot="1" x14ac:dyDescent="0.35"/>
    <row r="3" spans="1:8" x14ac:dyDescent="0.3">
      <c r="A3" s="75" t="s">
        <v>1</v>
      </c>
      <c r="B3" s="76">
        <v>0.2</v>
      </c>
      <c r="D3" s="75" t="s">
        <v>1</v>
      </c>
      <c r="E3" s="76">
        <v>0.2</v>
      </c>
    </row>
    <row r="4" spans="1:8" ht="15" thickBot="1" x14ac:dyDescent="0.35">
      <c r="A4" s="77" t="s">
        <v>34</v>
      </c>
      <c r="B4" s="78" t="s">
        <v>26</v>
      </c>
      <c r="D4" s="79" t="s">
        <v>34</v>
      </c>
      <c r="E4" s="80" t="s">
        <v>26</v>
      </c>
    </row>
    <row r="5" spans="1:8" x14ac:dyDescent="0.3">
      <c r="A5" s="13">
        <v>42536</v>
      </c>
      <c r="B5" s="10">
        <v>5000</v>
      </c>
      <c r="D5" s="19">
        <v>42078</v>
      </c>
      <c r="E5" s="20">
        <v>0</v>
      </c>
    </row>
    <row r="6" spans="1:8" x14ac:dyDescent="0.3">
      <c r="A6" s="13">
        <v>42657</v>
      </c>
      <c r="B6" s="10">
        <v>5143</v>
      </c>
      <c r="D6" s="13">
        <v>42536</v>
      </c>
      <c r="E6" s="10">
        <v>5000</v>
      </c>
    </row>
    <row r="7" spans="1:8" x14ac:dyDescent="0.3">
      <c r="A7" s="13">
        <v>42855</v>
      </c>
      <c r="B7" s="10">
        <v>8838</v>
      </c>
      <c r="D7" s="13">
        <v>42657</v>
      </c>
      <c r="E7" s="10">
        <v>5143</v>
      </c>
    </row>
    <row r="8" spans="1:8" x14ac:dyDescent="0.3">
      <c r="A8" s="13">
        <v>42684</v>
      </c>
      <c r="B8" s="10">
        <v>-4893</v>
      </c>
      <c r="D8" s="13">
        <v>42855</v>
      </c>
      <c r="E8" s="10">
        <v>8838</v>
      </c>
    </row>
    <row r="9" spans="1:8" x14ac:dyDescent="0.3">
      <c r="A9" s="13">
        <v>42629</v>
      </c>
      <c r="B9" s="10">
        <v>-2134</v>
      </c>
      <c r="D9" s="13">
        <v>42684</v>
      </c>
      <c r="E9" s="10">
        <v>-4893</v>
      </c>
    </row>
    <row r="10" spans="1:8" x14ac:dyDescent="0.3">
      <c r="A10" s="13">
        <v>42843</v>
      </c>
      <c r="B10" s="10">
        <v>8047</v>
      </c>
      <c r="D10" s="13">
        <v>42629</v>
      </c>
      <c r="E10" s="10">
        <v>-2134</v>
      </c>
    </row>
    <row r="11" spans="1:8" x14ac:dyDescent="0.3">
      <c r="A11" s="13">
        <v>42609</v>
      </c>
      <c r="B11" s="10">
        <v>3908</v>
      </c>
      <c r="D11" s="13">
        <v>42843</v>
      </c>
      <c r="E11" s="10">
        <v>8047</v>
      </c>
    </row>
    <row r="12" spans="1:8" ht="15" thickBot="1" x14ac:dyDescent="0.35">
      <c r="A12" s="14">
        <v>42568</v>
      </c>
      <c r="B12" s="15">
        <v>-4007</v>
      </c>
      <c r="D12" s="16">
        <v>42609</v>
      </c>
      <c r="E12" s="17">
        <v>3908</v>
      </c>
    </row>
    <row r="13" spans="1:8" ht="15" thickBot="1" x14ac:dyDescent="0.35">
      <c r="D13" s="14">
        <v>42568</v>
      </c>
      <c r="E13" s="15">
        <v>-4007</v>
      </c>
    </row>
    <row r="14" spans="1:8" ht="15" thickBot="1" x14ac:dyDescent="0.35">
      <c r="A14" s="11" t="s">
        <v>35</v>
      </c>
      <c r="B14" s="12">
        <f>XNPV(B3,B5:B12,A5:A12)</f>
        <v>17523.654500894841</v>
      </c>
      <c r="D14" s="9" t="s">
        <v>35</v>
      </c>
      <c r="E14" s="18">
        <f>XNPV(E3,E5:E13,D5:D13)</f>
        <v>13940.183426721771</v>
      </c>
    </row>
    <row r="23" spans="9:9" x14ac:dyDescent="0.3">
      <c r="I23" t="s">
        <v>113</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5C04-84FD-4D29-8B6B-75F7145960C1}">
  <dimension ref="A1:H12"/>
  <sheetViews>
    <sheetView workbookViewId="0">
      <selection activeCell="J20" sqref="J20"/>
    </sheetView>
  </sheetViews>
  <sheetFormatPr defaultRowHeight="14.4" x14ac:dyDescent="0.3"/>
  <cols>
    <col min="2" max="2" width="11.6640625" bestFit="1" customWidth="1"/>
  </cols>
  <sheetData>
    <row r="1" spans="1:8" ht="25.8" x14ac:dyDescent="0.5">
      <c r="A1" s="108" t="s">
        <v>118</v>
      </c>
      <c r="B1" s="108"/>
      <c r="C1" s="108"/>
      <c r="D1" s="108"/>
      <c r="E1" s="108"/>
      <c r="F1" s="108"/>
      <c r="G1" s="108"/>
      <c r="H1" s="108"/>
    </row>
    <row r="3" spans="1:8" x14ac:dyDescent="0.3">
      <c r="A3" s="74" t="s">
        <v>26</v>
      </c>
      <c r="B3" s="74" t="s">
        <v>1</v>
      </c>
      <c r="C3" s="74" t="s">
        <v>35</v>
      </c>
    </row>
    <row r="4" spans="1:8" x14ac:dyDescent="0.3">
      <c r="A4" s="2">
        <v>10000</v>
      </c>
      <c r="B4" s="67">
        <v>0.08</v>
      </c>
      <c r="C4" s="3">
        <f t="shared" ref="C4:C12" si="0">NPV(B4,$A$4:$A$7)</f>
        <v>-304.94918532819202</v>
      </c>
    </row>
    <row r="5" spans="1:8" x14ac:dyDescent="0.3">
      <c r="A5" s="2">
        <v>-5000</v>
      </c>
      <c r="B5" s="67">
        <v>8.5000000000000006E-2</v>
      </c>
      <c r="C5" s="3">
        <f t="shared" si="0"/>
        <v>-242.25684036084584</v>
      </c>
    </row>
    <row r="6" spans="1:8" x14ac:dyDescent="0.3">
      <c r="A6" s="2">
        <v>-8500</v>
      </c>
      <c r="B6" s="67">
        <v>0.09</v>
      </c>
      <c r="C6" s="3">
        <f t="shared" si="0"/>
        <v>-180.79719811594737</v>
      </c>
    </row>
    <row r="7" spans="1:8" x14ac:dyDescent="0.3">
      <c r="A7" s="2">
        <v>2000</v>
      </c>
      <c r="B7" s="67">
        <v>9.5000000000000001E-2</v>
      </c>
      <c r="C7" s="3">
        <f t="shared" si="0"/>
        <v>-120.54389452858119</v>
      </c>
    </row>
    <row r="8" spans="1:8" x14ac:dyDescent="0.3">
      <c r="A8" s="1"/>
      <c r="B8" s="67">
        <v>0.1</v>
      </c>
      <c r="C8" s="3">
        <f t="shared" si="0"/>
        <v>-61.471210982855276</v>
      </c>
    </row>
    <row r="9" spans="1:8" x14ac:dyDescent="0.3">
      <c r="A9" s="1"/>
      <c r="B9" s="67">
        <v>0.1053</v>
      </c>
      <c r="C9" s="3">
        <f t="shared" si="0"/>
        <v>-0.11523532268666639</v>
      </c>
    </row>
    <row r="10" spans="1:8" x14ac:dyDescent="0.3">
      <c r="A10" s="1"/>
      <c r="B10" s="67">
        <v>0.11</v>
      </c>
      <c r="C10" s="3">
        <f t="shared" si="0"/>
        <v>53.232050020658598</v>
      </c>
    </row>
    <row r="11" spans="1:8" x14ac:dyDescent="0.3">
      <c r="A11" s="1"/>
      <c r="B11" s="67">
        <v>0.115</v>
      </c>
      <c r="C11" s="3">
        <f t="shared" si="0"/>
        <v>108.91099578129308</v>
      </c>
    </row>
    <row r="12" spans="1:8" x14ac:dyDescent="0.3">
      <c r="A12" s="1"/>
      <c r="B12" s="67">
        <v>0.12</v>
      </c>
      <c r="C12" s="3">
        <f t="shared" si="0"/>
        <v>163.50609121199599</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9CD3-9109-4AA4-A9C4-95A73C6AE346}">
  <dimension ref="A1:K54"/>
  <sheetViews>
    <sheetView workbookViewId="0">
      <selection activeCell="A46" sqref="A46:C54"/>
    </sheetView>
  </sheetViews>
  <sheetFormatPr defaultRowHeight="14.4" x14ac:dyDescent="0.3"/>
  <cols>
    <col min="1" max="1" width="10.109375" bestFit="1" customWidth="1"/>
    <col min="3" max="3" width="10.109375" bestFit="1" customWidth="1"/>
    <col min="5" max="5" width="10.33203125" bestFit="1" customWidth="1"/>
  </cols>
  <sheetData>
    <row r="1" spans="1:11" ht="24.6" x14ac:dyDescent="0.3">
      <c r="A1" s="95" t="s">
        <v>119</v>
      </c>
      <c r="B1" s="95"/>
      <c r="C1" s="95"/>
      <c r="D1" s="95"/>
      <c r="E1" s="95"/>
      <c r="F1" s="95"/>
      <c r="G1" s="95"/>
      <c r="H1" s="95"/>
    </row>
    <row r="2" spans="1:11" x14ac:dyDescent="0.3">
      <c r="K2" s="21"/>
    </row>
    <row r="3" spans="1:11" ht="15.6" x14ac:dyDescent="0.3">
      <c r="A3" s="93" t="s">
        <v>38</v>
      </c>
      <c r="B3" s="93"/>
      <c r="C3" s="93"/>
      <c r="D3" s="93"/>
      <c r="E3" s="93"/>
      <c r="F3" s="93"/>
    </row>
    <row r="5" spans="1:11" x14ac:dyDescent="0.3">
      <c r="A5" s="71" t="s">
        <v>37</v>
      </c>
      <c r="C5" s="92" t="s">
        <v>37</v>
      </c>
      <c r="D5" s="71" t="s">
        <v>39</v>
      </c>
      <c r="E5" s="71" t="s">
        <v>38</v>
      </c>
    </row>
    <row r="6" spans="1:11" x14ac:dyDescent="0.3">
      <c r="A6" s="2">
        <v>10000</v>
      </c>
      <c r="C6" s="2">
        <v>10000</v>
      </c>
      <c r="D6" s="2"/>
      <c r="E6" s="67">
        <f>IRR(C6:C9)</f>
        <v>0.1053100591867342</v>
      </c>
    </row>
    <row r="7" spans="1:11" x14ac:dyDescent="0.3">
      <c r="A7" s="2">
        <v>-5000</v>
      </c>
      <c r="C7" s="2">
        <v>-5000</v>
      </c>
      <c r="D7" s="2">
        <v>0.05</v>
      </c>
      <c r="E7" s="67">
        <f>IRR($C$6:$C$9,D7)</f>
        <v>0.10531005918673531</v>
      </c>
    </row>
    <row r="8" spans="1:11" x14ac:dyDescent="0.3">
      <c r="A8" s="2">
        <v>-8500</v>
      </c>
      <c r="C8" s="2">
        <v>-8500</v>
      </c>
      <c r="D8" s="2">
        <v>0.15</v>
      </c>
      <c r="E8" s="67">
        <f t="shared" ref="E8:E16" si="0">IRR($C$6:$C$9,D8)</f>
        <v>0.10531005918673553</v>
      </c>
    </row>
    <row r="9" spans="1:11" x14ac:dyDescent="0.3">
      <c r="A9" s="2">
        <v>2000</v>
      </c>
      <c r="C9" s="2">
        <v>2000</v>
      </c>
      <c r="D9" s="2">
        <v>0.2</v>
      </c>
      <c r="E9" s="67">
        <f t="shared" si="0"/>
        <v>0.10531005918672065</v>
      </c>
    </row>
    <row r="10" spans="1:11" ht="15" thickBot="1" x14ac:dyDescent="0.35">
      <c r="D10" s="5">
        <v>0.25</v>
      </c>
      <c r="E10" s="29">
        <f t="shared" si="0"/>
        <v>0.10531005918632652</v>
      </c>
    </row>
    <row r="11" spans="1:11" ht="15" thickBot="1" x14ac:dyDescent="0.35">
      <c r="A11" s="85" t="s">
        <v>38</v>
      </c>
      <c r="D11" s="5">
        <v>0.3</v>
      </c>
      <c r="E11" s="29">
        <f t="shared" si="0"/>
        <v>0.10531005918673553</v>
      </c>
    </row>
    <row r="12" spans="1:11" ht="15" thickBot="1" x14ac:dyDescent="0.35">
      <c r="A12" s="25">
        <f>IRR(A6:A9)</f>
        <v>0.1053100591867342</v>
      </c>
      <c r="D12" s="5">
        <v>0.35</v>
      </c>
      <c r="E12" s="29">
        <f t="shared" si="0"/>
        <v>0.10531005918673553</v>
      </c>
    </row>
    <row r="13" spans="1:11" x14ac:dyDescent="0.3">
      <c r="D13" s="5">
        <v>0.4</v>
      </c>
      <c r="E13" s="29">
        <f t="shared" si="0"/>
        <v>0.10531005918673553</v>
      </c>
    </row>
    <row r="14" spans="1:11" x14ac:dyDescent="0.3">
      <c r="D14" s="5">
        <v>0.45</v>
      </c>
      <c r="E14" s="29">
        <f t="shared" si="0"/>
        <v>0.10531005918673575</v>
      </c>
    </row>
    <row r="15" spans="1:11" x14ac:dyDescent="0.3">
      <c r="D15" s="5">
        <v>0.5</v>
      </c>
      <c r="E15" s="29">
        <f t="shared" si="0"/>
        <v>0.10531005918673619</v>
      </c>
    </row>
    <row r="16" spans="1:11" ht="15" thickBot="1" x14ac:dyDescent="0.35">
      <c r="D16" s="6">
        <v>0.55000000000000004</v>
      </c>
      <c r="E16" s="29">
        <f t="shared" si="0"/>
        <v>0.1053100591867373</v>
      </c>
    </row>
    <row r="18" spans="1:6" ht="15" thickBot="1" x14ac:dyDescent="0.35">
      <c r="A18" s="94" t="s">
        <v>110</v>
      </c>
      <c r="B18" s="94"/>
      <c r="C18" s="94"/>
      <c r="D18" s="94"/>
      <c r="E18" s="94"/>
      <c r="F18" s="94"/>
    </row>
    <row r="19" spans="1:6" ht="15" thickBot="1" x14ac:dyDescent="0.35">
      <c r="A19" s="87" t="s">
        <v>37</v>
      </c>
      <c r="B19" s="88" t="s">
        <v>39</v>
      </c>
      <c r="C19" s="89" t="s">
        <v>38</v>
      </c>
    </row>
    <row r="20" spans="1:6" x14ac:dyDescent="0.3">
      <c r="A20" s="27">
        <v>-20000</v>
      </c>
      <c r="B20" s="7"/>
      <c r="C20" s="28">
        <f>IRR(A20:A23)</f>
        <v>-9.5909414154996986E-2</v>
      </c>
    </row>
    <row r="21" spans="1:6" x14ac:dyDescent="0.3">
      <c r="A21" s="26">
        <v>82000</v>
      </c>
      <c r="B21" s="23">
        <v>0.15</v>
      </c>
      <c r="C21" s="28">
        <f>IRR($A$20:$A$23,B21)</f>
        <v>-9.5909414155059047E-2</v>
      </c>
      <c r="E21" s="91"/>
    </row>
    <row r="22" spans="1:6" x14ac:dyDescent="0.3">
      <c r="A22" s="26">
        <v>-60000</v>
      </c>
      <c r="B22" s="23">
        <v>0.2</v>
      </c>
      <c r="C22" s="28">
        <f t="shared" ref="C22:C30" si="1">IRR($A$20:$A$23,B22)</f>
        <v>-9.5909414154996986E-2</v>
      </c>
      <c r="E22" s="91"/>
    </row>
    <row r="23" spans="1:6" x14ac:dyDescent="0.3">
      <c r="A23" s="26">
        <v>2000</v>
      </c>
      <c r="B23" s="23">
        <v>0.25</v>
      </c>
      <c r="C23" s="28">
        <f t="shared" si="1"/>
        <v>-9.5909414153667494E-2</v>
      </c>
      <c r="E23" s="91"/>
    </row>
    <row r="24" spans="1:6" x14ac:dyDescent="0.3">
      <c r="B24" s="23">
        <v>0.3</v>
      </c>
      <c r="C24" s="28">
        <f t="shared" si="1"/>
        <v>-9.590941415486065E-2</v>
      </c>
      <c r="E24" s="91"/>
    </row>
    <row r="25" spans="1:6" x14ac:dyDescent="0.3">
      <c r="B25" s="23">
        <v>0.35</v>
      </c>
      <c r="C25" s="28">
        <f t="shared" si="1"/>
        <v>-9.5909414154996986E-2</v>
      </c>
      <c r="E25" s="91"/>
    </row>
    <row r="26" spans="1:6" x14ac:dyDescent="0.3">
      <c r="B26" s="23">
        <v>0.4</v>
      </c>
      <c r="C26" s="28">
        <f t="shared" si="1"/>
        <v>-9.5909414154997874E-2</v>
      </c>
      <c r="E26" s="91"/>
    </row>
    <row r="27" spans="1:6" x14ac:dyDescent="0.3">
      <c r="B27" s="23">
        <v>0.45</v>
      </c>
      <c r="C27" s="28">
        <f t="shared" si="1"/>
        <v>2.160916914048538</v>
      </c>
      <c r="E27" s="91"/>
    </row>
    <row r="28" spans="1:6" x14ac:dyDescent="0.3">
      <c r="B28" s="23">
        <v>0.5</v>
      </c>
      <c r="C28" s="28">
        <f t="shared" si="1"/>
        <v>2.1609169140534945</v>
      </c>
      <c r="E28" s="91"/>
    </row>
    <row r="29" spans="1:6" x14ac:dyDescent="0.3">
      <c r="B29" s="23">
        <v>0.55000000000000004</v>
      </c>
      <c r="C29" s="28">
        <f t="shared" si="1"/>
        <v>2.1609169140387743</v>
      </c>
      <c r="E29" s="91"/>
    </row>
    <row r="30" spans="1:6" ht="15" thickBot="1" x14ac:dyDescent="0.35">
      <c r="B30" s="24">
        <v>0.6</v>
      </c>
      <c r="C30" s="28">
        <f t="shared" si="1"/>
        <v>2.1609169140492739</v>
      </c>
      <c r="E30" s="91"/>
    </row>
    <row r="31" spans="1:6" ht="15" thickBot="1" x14ac:dyDescent="0.35"/>
    <row r="32" spans="1:6" ht="15" thickBot="1" x14ac:dyDescent="0.35">
      <c r="A32" s="72" t="s">
        <v>37</v>
      </c>
      <c r="B32" s="73" t="s">
        <v>39</v>
      </c>
      <c r="C32" s="86" t="s">
        <v>38</v>
      </c>
    </row>
    <row r="33" spans="1:6" x14ac:dyDescent="0.3">
      <c r="A33" s="27">
        <v>10000</v>
      </c>
      <c r="B33" s="7"/>
      <c r="C33" s="28" t="e">
        <f>IRR($A$33:$A$36,B33)</f>
        <v>#NUM!</v>
      </c>
    </row>
    <row r="34" spans="1:6" x14ac:dyDescent="0.3">
      <c r="A34" s="26">
        <v>-5000</v>
      </c>
      <c r="B34" s="5">
        <v>0.05</v>
      </c>
      <c r="C34" s="28" t="e">
        <f t="shared" ref="C34:C43" si="2">IRR($A$33:$A$36,B34)</f>
        <v>#NUM!</v>
      </c>
    </row>
    <row r="35" spans="1:6" x14ac:dyDescent="0.3">
      <c r="A35" s="26">
        <v>8500</v>
      </c>
      <c r="B35" s="5">
        <v>0.15</v>
      </c>
      <c r="C35" s="28" t="e">
        <f t="shared" si="2"/>
        <v>#NUM!</v>
      </c>
    </row>
    <row r="36" spans="1:6" x14ac:dyDescent="0.3">
      <c r="A36" s="26">
        <v>2000</v>
      </c>
      <c r="B36" s="5">
        <v>0.2</v>
      </c>
      <c r="C36" s="28" t="e">
        <f t="shared" si="2"/>
        <v>#NUM!</v>
      </c>
    </row>
    <row r="37" spans="1:6" x14ac:dyDescent="0.3">
      <c r="B37" s="5">
        <v>0.25</v>
      </c>
      <c r="C37" s="28" t="e">
        <f t="shared" si="2"/>
        <v>#NUM!</v>
      </c>
    </row>
    <row r="38" spans="1:6" x14ac:dyDescent="0.3">
      <c r="B38" s="5">
        <v>0.3</v>
      </c>
      <c r="C38" s="28" t="e">
        <f t="shared" si="2"/>
        <v>#NUM!</v>
      </c>
    </row>
    <row r="39" spans="1:6" x14ac:dyDescent="0.3">
      <c r="B39" s="5">
        <v>0.35</v>
      </c>
      <c r="C39" s="28" t="e">
        <f t="shared" si="2"/>
        <v>#NUM!</v>
      </c>
    </row>
    <row r="40" spans="1:6" x14ac:dyDescent="0.3">
      <c r="B40" s="5">
        <v>0.4</v>
      </c>
      <c r="C40" s="28" t="e">
        <f t="shared" si="2"/>
        <v>#NUM!</v>
      </c>
    </row>
    <row r="41" spans="1:6" x14ac:dyDescent="0.3">
      <c r="B41" s="5">
        <v>0.45</v>
      </c>
      <c r="C41" s="28" t="e">
        <f t="shared" si="2"/>
        <v>#NUM!</v>
      </c>
    </row>
    <row r="42" spans="1:6" x14ac:dyDescent="0.3">
      <c r="B42" s="5">
        <v>0.5</v>
      </c>
      <c r="C42" s="28" t="e">
        <f t="shared" si="2"/>
        <v>#NUM!</v>
      </c>
    </row>
    <row r="43" spans="1:6" ht="15" thickBot="1" x14ac:dyDescent="0.35">
      <c r="B43" s="6">
        <v>0.55000000000000004</v>
      </c>
      <c r="C43" s="28" t="e">
        <f t="shared" si="2"/>
        <v>#NUM!</v>
      </c>
    </row>
    <row r="44" spans="1:6" x14ac:dyDescent="0.3">
      <c r="B44" s="1"/>
      <c r="C44" s="84"/>
    </row>
    <row r="45" spans="1:6" x14ac:dyDescent="0.3">
      <c r="A45" s="94" t="s">
        <v>111</v>
      </c>
      <c r="B45" s="94"/>
      <c r="C45" s="94"/>
      <c r="D45" s="94"/>
      <c r="E45" s="94"/>
    </row>
    <row r="46" spans="1:6" x14ac:dyDescent="0.3">
      <c r="A46" s="71" t="s">
        <v>40</v>
      </c>
      <c r="B46" s="71" t="s">
        <v>41</v>
      </c>
      <c r="C46" s="71" t="s">
        <v>42</v>
      </c>
      <c r="E46" s="71" t="s">
        <v>34</v>
      </c>
      <c r="F46" s="71" t="s">
        <v>26</v>
      </c>
    </row>
    <row r="47" spans="1:6" x14ac:dyDescent="0.3">
      <c r="A47" s="2">
        <v>0</v>
      </c>
      <c r="B47" s="2">
        <v>-1000</v>
      </c>
      <c r="C47" s="2">
        <v>-1000</v>
      </c>
      <c r="E47" s="38">
        <v>42102</v>
      </c>
      <c r="F47" s="2">
        <v>-10000</v>
      </c>
    </row>
    <row r="48" spans="1:6" x14ac:dyDescent="0.3">
      <c r="A48" s="2">
        <v>1</v>
      </c>
      <c r="B48" s="2">
        <v>0</v>
      </c>
      <c r="C48" s="2">
        <v>400</v>
      </c>
      <c r="E48" s="38">
        <v>42231</v>
      </c>
      <c r="F48" s="2">
        <v>4000</v>
      </c>
    </row>
    <row r="49" spans="1:6" x14ac:dyDescent="0.3">
      <c r="A49" s="2">
        <v>2</v>
      </c>
      <c r="B49" s="2">
        <v>200</v>
      </c>
      <c r="C49" s="2">
        <v>400</v>
      </c>
      <c r="E49" s="38">
        <v>42444</v>
      </c>
      <c r="F49" s="2">
        <v>3000</v>
      </c>
    </row>
    <row r="50" spans="1:6" x14ac:dyDescent="0.3">
      <c r="A50" s="2">
        <v>3</v>
      </c>
      <c r="B50" s="2">
        <v>300</v>
      </c>
      <c r="C50" s="2">
        <v>300</v>
      </c>
      <c r="E50" s="38">
        <v>42485</v>
      </c>
      <c r="F50" s="2">
        <v>5000</v>
      </c>
    </row>
    <row r="51" spans="1:6" ht="15" thickBot="1" x14ac:dyDescent="0.35">
      <c r="A51" s="2">
        <v>4</v>
      </c>
      <c r="B51" s="2">
        <v>500</v>
      </c>
      <c r="C51" s="2">
        <v>300</v>
      </c>
    </row>
    <row r="52" spans="1:6" ht="15" thickBot="1" x14ac:dyDescent="0.35">
      <c r="A52" s="22">
        <v>5</v>
      </c>
      <c r="B52" s="22">
        <v>900</v>
      </c>
      <c r="C52" s="22">
        <v>200</v>
      </c>
      <c r="E52" s="81" t="s">
        <v>43</v>
      </c>
      <c r="F52" s="35">
        <f>XIRR(F47:F50,E47:E50,)</f>
        <v>0.26418331265449524</v>
      </c>
    </row>
    <row r="53" spans="1:6" ht="15" thickBot="1" x14ac:dyDescent="0.35">
      <c r="A53" s="81" t="s">
        <v>38</v>
      </c>
      <c r="B53" s="32">
        <f>IRR(B47:B52,)</f>
        <v>0.17318426166949386</v>
      </c>
      <c r="C53" s="32">
        <f>IRR(C47:C52,)</f>
        <v>0.20494783010713435</v>
      </c>
    </row>
    <row r="54" spans="1:6" ht="15" thickBot="1" x14ac:dyDescent="0.35">
      <c r="A54" s="81" t="s">
        <v>35</v>
      </c>
      <c r="B54" s="33">
        <v>815.89</v>
      </c>
      <c r="C54" s="34">
        <v>552.4</v>
      </c>
    </row>
  </sheetData>
  <mergeCells count="4">
    <mergeCell ref="A3:F3"/>
    <mergeCell ref="A45:E45"/>
    <mergeCell ref="A18:F18"/>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B22E-5E99-4C18-ABA2-CC3C917B63F8}">
  <dimension ref="A1:E15"/>
  <sheetViews>
    <sheetView workbookViewId="0">
      <selection activeCell="A8" sqref="A8:B13"/>
    </sheetView>
  </sheetViews>
  <sheetFormatPr defaultRowHeight="14.4" x14ac:dyDescent="0.3"/>
  <cols>
    <col min="4" max="4" width="16.88671875" bestFit="1" customWidth="1"/>
  </cols>
  <sheetData>
    <row r="1" spans="1:5" ht="24.6" x14ac:dyDescent="0.3">
      <c r="A1" s="95" t="s">
        <v>116</v>
      </c>
      <c r="B1" s="95"/>
      <c r="C1" s="95"/>
      <c r="D1" s="95"/>
      <c r="E1" s="95"/>
    </row>
    <row r="3" spans="1:5" x14ac:dyDescent="0.3">
      <c r="A3" s="64" t="s">
        <v>40</v>
      </c>
      <c r="B3" s="64" t="s">
        <v>26</v>
      </c>
      <c r="D3" s="64" t="s">
        <v>44</v>
      </c>
      <c r="E3" s="63">
        <v>0.1</v>
      </c>
    </row>
    <row r="4" spans="1:5" x14ac:dyDescent="0.3">
      <c r="A4" s="2">
        <v>0</v>
      </c>
      <c r="B4" s="2">
        <v>-1.6</v>
      </c>
      <c r="D4" s="64" t="s">
        <v>45</v>
      </c>
      <c r="E4" s="63">
        <v>0.12</v>
      </c>
    </row>
    <row r="5" spans="1:5" x14ac:dyDescent="0.3">
      <c r="A5" s="2">
        <v>1</v>
      </c>
      <c r="B5" s="2">
        <v>10</v>
      </c>
    </row>
    <row r="6" spans="1:5" x14ac:dyDescent="0.3">
      <c r="A6" s="2">
        <v>2</v>
      </c>
      <c r="B6" s="2">
        <v>-10</v>
      </c>
    </row>
    <row r="7" spans="1:5" ht="15" thickBot="1" x14ac:dyDescent="0.35"/>
    <row r="8" spans="1:5" ht="15" thickBot="1" x14ac:dyDescent="0.35">
      <c r="A8" s="65" t="s">
        <v>46</v>
      </c>
      <c r="B8" s="66" t="s">
        <v>35</v>
      </c>
    </row>
    <row r="9" spans="1:5" x14ac:dyDescent="0.3">
      <c r="A9" s="36">
        <v>0.1</v>
      </c>
      <c r="B9" s="37">
        <f>NPV(A9,$B$4:$B$6)</f>
        <v>-0.70323065364387649</v>
      </c>
    </row>
    <row r="10" spans="1:5" x14ac:dyDescent="0.3">
      <c r="A10" s="30">
        <v>0.25</v>
      </c>
      <c r="B10" s="37">
        <f t="shared" ref="B10:B13" si="0">NPV(A10,$B$4:$B$6)</f>
        <v>0</v>
      </c>
    </row>
    <row r="11" spans="1:5" x14ac:dyDescent="0.3">
      <c r="A11" s="30">
        <v>1.1000000000000001</v>
      </c>
      <c r="B11" s="37">
        <f t="shared" si="0"/>
        <v>0.42587193607601764</v>
      </c>
    </row>
    <row r="12" spans="1:5" x14ac:dyDescent="0.3">
      <c r="A12" s="30">
        <v>4</v>
      </c>
      <c r="B12" s="37">
        <f t="shared" si="0"/>
        <v>-2.2204460492503132E-17</v>
      </c>
    </row>
    <row r="13" spans="1:5" ht="15" thickBot="1" x14ac:dyDescent="0.35">
      <c r="A13" s="31">
        <v>5</v>
      </c>
      <c r="B13" s="37">
        <f t="shared" si="0"/>
        <v>-3.5185185185185187E-2</v>
      </c>
    </row>
    <row r="15" spans="1:5" x14ac:dyDescent="0.3">
      <c r="A15" s="64" t="s">
        <v>47</v>
      </c>
      <c r="B15" s="67">
        <f>MIRR(B4:B6,E3,E4)</f>
        <v>6.554621671065064E-2</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49C5-FAAB-454F-A910-215C695D1C54}">
  <dimension ref="A1:C23"/>
  <sheetViews>
    <sheetView workbookViewId="0">
      <selection activeCell="D19" sqref="D19"/>
    </sheetView>
  </sheetViews>
  <sheetFormatPr defaultRowHeight="14.4" x14ac:dyDescent="0.3"/>
  <cols>
    <col min="1" max="1" width="25.88671875" customWidth="1"/>
    <col min="2" max="2" width="13.5546875" customWidth="1"/>
    <col min="3" max="3" width="34.21875" customWidth="1"/>
  </cols>
  <sheetData>
    <row r="1" spans="1:3" ht="24.6" x14ac:dyDescent="0.3">
      <c r="A1" s="95" t="s">
        <v>101</v>
      </c>
      <c r="B1" s="95"/>
      <c r="C1" s="95"/>
    </row>
    <row r="3" spans="1:3" x14ac:dyDescent="0.3">
      <c r="A3" s="94" t="s">
        <v>75</v>
      </c>
      <c r="B3" s="94"/>
      <c r="C3" s="94"/>
    </row>
    <row r="4" spans="1:3" x14ac:dyDescent="0.3">
      <c r="A4" s="90" t="s">
        <v>76</v>
      </c>
      <c r="B4" s="90" t="s">
        <v>77</v>
      </c>
      <c r="C4" s="90" t="s">
        <v>78</v>
      </c>
    </row>
    <row r="5" spans="1:3" x14ac:dyDescent="0.3">
      <c r="A5" s="39" t="s">
        <v>79</v>
      </c>
      <c r="B5" s="40">
        <f>Annuity!B8</f>
        <v>28792.621766665405</v>
      </c>
      <c r="C5" s="39" t="s">
        <v>80</v>
      </c>
    </row>
    <row r="6" spans="1:3" x14ac:dyDescent="0.3">
      <c r="A6" s="39" t="s">
        <v>81</v>
      </c>
      <c r="B6" s="40">
        <f>Annuity!E8</f>
        <v>32535.662596331898</v>
      </c>
      <c r="C6" s="39" t="s">
        <v>82</v>
      </c>
    </row>
    <row r="7" spans="1:3" x14ac:dyDescent="0.3">
      <c r="A7" s="39" t="s">
        <v>83</v>
      </c>
      <c r="B7" s="40">
        <f>'Loan &amp; EMI'!B12</f>
        <v>52139.809019684551</v>
      </c>
      <c r="C7" s="39" t="s">
        <v>84</v>
      </c>
    </row>
    <row r="8" spans="1:3" x14ac:dyDescent="0.3">
      <c r="A8" s="39" t="s">
        <v>85</v>
      </c>
      <c r="B8" s="40">
        <f>'Loan &amp; EMI'!E11</f>
        <v>13261.587371330586</v>
      </c>
      <c r="C8" s="39" t="s">
        <v>84</v>
      </c>
    </row>
    <row r="9" spans="1:3" x14ac:dyDescent="0.3">
      <c r="A9" s="39" t="s">
        <v>86</v>
      </c>
      <c r="B9" s="41">
        <f>'Loan &amp; EMI'!B45</f>
        <v>8.4417979849311348E-2</v>
      </c>
      <c r="C9" s="39" t="s">
        <v>61</v>
      </c>
    </row>
    <row r="10" spans="1:3" x14ac:dyDescent="0.3">
      <c r="A10" s="39" t="s">
        <v>87</v>
      </c>
      <c r="B10" s="42">
        <f>'Loan &amp; EMI'!B51</f>
        <v>11.526704607247604</v>
      </c>
      <c r="C10" s="39" t="s">
        <v>88</v>
      </c>
    </row>
    <row r="11" spans="1:3" x14ac:dyDescent="0.3">
      <c r="A11" s="39" t="s">
        <v>89</v>
      </c>
      <c r="B11" s="40">
        <f>'Investment Analysis'!B13</f>
        <v>5972.2222222222208</v>
      </c>
      <c r="C11" s="39" t="s">
        <v>90</v>
      </c>
    </row>
    <row r="12" spans="1:3" x14ac:dyDescent="0.3">
      <c r="A12" s="39" t="s">
        <v>91</v>
      </c>
      <c r="B12" s="40">
        <f>'Investment Analysis'!C13</f>
        <v>6111.1111111111113</v>
      </c>
      <c r="C12" s="39" t="s">
        <v>92</v>
      </c>
    </row>
    <row r="13" spans="1:3" x14ac:dyDescent="0.3">
      <c r="A13" s="39" t="s">
        <v>52</v>
      </c>
      <c r="B13" s="40">
        <f>XNPV!B14</f>
        <v>17523.654500894841</v>
      </c>
      <c r="C13" s="39" t="s">
        <v>90</v>
      </c>
    </row>
    <row r="14" spans="1:3" x14ac:dyDescent="0.3">
      <c r="A14" s="39" t="s">
        <v>47</v>
      </c>
      <c r="B14" s="41">
        <f>MIRR!B15</f>
        <v>6.554621671065064E-2</v>
      </c>
      <c r="C14" s="39" t="s">
        <v>93</v>
      </c>
    </row>
    <row r="17" spans="1:3" x14ac:dyDescent="0.3">
      <c r="A17" s="94" t="s">
        <v>94</v>
      </c>
      <c r="B17" s="94"/>
      <c r="C17" s="94"/>
    </row>
    <row r="18" spans="1:3" x14ac:dyDescent="0.3">
      <c r="A18" s="111" t="s">
        <v>95</v>
      </c>
      <c r="B18" s="111"/>
      <c r="C18" s="111"/>
    </row>
    <row r="19" spans="1:3" x14ac:dyDescent="0.3">
      <c r="A19" s="111" t="s">
        <v>96</v>
      </c>
      <c r="B19" s="111"/>
      <c r="C19" s="111"/>
    </row>
    <row r="20" spans="1:3" x14ac:dyDescent="0.3">
      <c r="A20" s="111" t="s">
        <v>97</v>
      </c>
      <c r="B20" s="111"/>
      <c r="C20" s="111"/>
    </row>
    <row r="21" spans="1:3" x14ac:dyDescent="0.3">
      <c r="A21" s="111" t="s">
        <v>98</v>
      </c>
      <c r="B21" s="111"/>
      <c r="C21" s="111"/>
    </row>
    <row r="22" spans="1:3" ht="28.8" customHeight="1" x14ac:dyDescent="0.3">
      <c r="A22" s="96" t="s">
        <v>99</v>
      </c>
      <c r="B22" s="96"/>
      <c r="C22" s="96"/>
    </row>
    <row r="23" spans="1:3" x14ac:dyDescent="0.3">
      <c r="A23" s="111" t="s">
        <v>100</v>
      </c>
      <c r="B23" s="111"/>
      <c r="C23" s="111"/>
    </row>
  </sheetData>
  <mergeCells count="9">
    <mergeCell ref="A22:C22"/>
    <mergeCell ref="A23:C23"/>
    <mergeCell ref="A1:C1"/>
    <mergeCell ref="A3:C3"/>
    <mergeCell ref="A17:C17"/>
    <mergeCell ref="A18:C18"/>
    <mergeCell ref="A19:C19"/>
    <mergeCell ref="A20:C20"/>
    <mergeCell ref="A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Information</vt:lpstr>
      <vt:lpstr>Methodology</vt:lpstr>
      <vt:lpstr>Annuity</vt:lpstr>
      <vt:lpstr>Loan &amp; EMI</vt:lpstr>
      <vt:lpstr>Investment Analysis</vt:lpstr>
      <vt:lpstr>XNPV</vt:lpstr>
      <vt:lpstr>NPV - DIFFERENT RATE</vt:lpstr>
      <vt:lpstr>IRR &amp; XIRR</vt:lpstr>
      <vt:lpstr>MIRR</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SRIJITA SARKAR</cp:lastModifiedBy>
  <dcterms:created xsi:type="dcterms:W3CDTF">2023-06-15T04:20:27Z</dcterms:created>
  <dcterms:modified xsi:type="dcterms:W3CDTF">2026-09-20T17:06:06Z</dcterms:modified>
</cp:coreProperties>
</file>